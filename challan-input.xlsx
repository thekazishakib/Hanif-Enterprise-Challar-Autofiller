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1a0c1a9ea4e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p Details" sheetId="1" r:id="Rc233fc831175489a"/>
    <x:sheet xmlns:r="http://schemas.openxmlformats.org/officeDocument/2006/relationships" name="Main" sheetId="2" r:id="Raaa1c241611242ba"/>
    <x:sheet xmlns:r="http://schemas.openxmlformats.org/officeDocument/2006/relationships" name="Secondary" sheetId="3" r:id="Re2131082ae7f4d68"/>
    <x:sheet xmlns:r="http://schemas.openxmlformats.org/officeDocument/2006/relationships" name="Routes" sheetId="4" r:id="Rd7e8fb0e41b84242"/>
    <x:sheet xmlns:r="http://schemas.openxmlformats.org/officeDocument/2006/relationships" name="Counters" sheetId="5" r:id="R7e9de912b307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hh:mm"/>
    <x:numFmt numFmtId="203" formatCode="#,##0.00"/>
    <x:numFmt numFmtId="204" formatCode="0.00"/>
  </x:numFmts>
  <x:fonts count="6">
    <x:font>
      <x:sz val="11"/>
      <x:name val="Carlito"/>
    </x:font>
    <x:font>
      <x:sz val="11"/>
      <x:color rgb="FF172B3A"/>
      <x:name val="Times New Roman"/>
    </x:font>
    <x:font>
      <x:b/>
      <x:sz val="11"/>
      <x:color rgb="FFFFFFFF"/>
      <x:name val="Times New Roman"/>
    </x:font>
    <x:font>
      <x:b/>
      <x:sz val="16"/>
      <x:color rgb="FF172B3A"/>
      <x:name val="Times New Roman"/>
    </x:font>
    <x:font>
      <x:b/>
      <x:sz val="11"/>
      <x:name val="Carlito"/>
    </x:font>
    <x:font>
      <x:b/>
      <x:sz val="11"/>
      <x:color rgb="FF172B3A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FFF6DE"/>
      </x:patternFill>
    </x:fill>
    <x:fill>
      <x:patternFill patternType="solid">
        <x:fgColor rgb="FFE9EEF2"/>
      </x:patternFill>
    </x:fill>
    <x:fill>
      <x:patternFill patternType="solid">
        <x:fgColor rgb="FF183B50"/>
      </x:patternFill>
    </x:fill>
    <x:fill>
      <x:patternFill patternType="solid">
        <x:fgColor rgb="FFDCE5EC"/>
      </x:patternFill>
    </x:fill>
    <x:fill>
      <x:patternFill patternType="solid">
        <x:fgColor rgb="FF197E9A"/>
      </x:patternFill>
    </x:fill>
    <x:fill>
      <x:patternFill patternType="solid">
        <x:fgColor rgb="FFA12D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1" fontId="0" fillId="2" borderId="0" xfId="0" applyNumberFormat="1" applyFont="1" applyFill="1" applyBorder="1"/>
    <x:xf numFmtId="202" fontId="0" fillId="2" borderId="0" xfId="0" applyNumberFormat="1" applyFont="1" applyFill="1" applyBorder="1"/>
    <x:xf numFmtId="203" fontId="0" fillId="2" borderId="0" xfId="0" applyNumberFormat="1" applyFont="1" applyFill="1" applyBorder="1"/>
    <x:xf numFmtId="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0" borderId="0" xfId="0" applyNumberFormat="1" applyFont="1" applyFill="1" applyBorder="1"/>
    <x:xf numFmtId="200" fontId="1" fillId="3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2" fontId="1" fillId="2" borderId="0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wrapText="1"/>
    </x:xf>
    <x:xf numFmtId="204" fontId="0" fillId="2" borderId="0" xfId="0" applyNumberFormat="1" applyFont="1" applyFill="1" applyBorder="1"/>
    <x:xf numFmtId="204" fontId="1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0" fillId="3" borderId="0" xfId="0" applyNumberFormat="1" applyFont="1" applyFill="1" applyBorder="1"/>
    <x:xf numFmtId="203" fontId="4" fillId="5" borderId="0" xfId="0" applyNumberFormat="1" applyFont="1" applyFill="1" applyBorder="1"/>
    <x:xf numFmtId="203" fontId="1" fillId="3" borderId="0" xfId="0" applyNumberFormat="1" applyFont="1" applyFill="1" applyBorder="1"/>
    <x:xf numFmtId="0" fontId="5" fillId="5" borderId="0" xfId="0" applyNumberFormat="1" applyFont="1" applyFill="1" applyBorder="1"/>
    <x:xf numFmtId="203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1" fillId="7" borderId="0" xfId="0" applyNumberFormat="1" applyFont="1" applyFill="1" applyBorder="1"/>
    <x:xf numFmtId="0" fontId="2" fillId="7" borderId="0" xfId="0" applyNumberFormat="1" applyFont="1" applyFill="1" applyBorder="1"/>
  </x:cellXfs>
  <x:cellStyles count="1">
    <x:cellStyle name="Normal" xfId="0"/>
  </x:cellStyles>
  <x:dxfs count="2">
    <x:dxf>
      <x:font>
        <x:color rgb="FFA32E2E"/>
      </x:font>
      <x:fill>
        <x:patternFill patternType="solid">
          <x:bgColor rgb="FFFFE3DE"/>
        </x:patternFill>
      </x:fill>
    </x:dxf>
    <x:dxf>
      <x:font>
        <x:color rgb="FFA32E2E"/>
      </x:font>
      <x:fill>
        <x:patternFill patternType="solid">
          <x:bgColor rgb="FFFFE3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82a6cc3ce4c0a" /><Relationship Type="http://schemas.openxmlformats.org/officeDocument/2006/relationships/theme" Target="/xl/theme/theme1.xml" Id="R26038c5e2a1847a3" /><Relationship Type="http://schemas.openxmlformats.org/officeDocument/2006/relationships/sharedStrings" Target="/xl/sharedStrings.xml" Id="R9d9d69f8e5f04b76" /><Relationship Type="http://schemas.openxmlformats.org/officeDocument/2006/relationships/worksheet" Target="/xl/worksheets/sheet1.xml" Id="Rc233fc831175489a" /><Relationship Type="http://schemas.openxmlformats.org/officeDocument/2006/relationships/worksheet" Target="/xl/worksheets/sheet2.xml" Id="Raaa1c241611242ba" /><Relationship Type="http://schemas.openxmlformats.org/officeDocument/2006/relationships/worksheet" Target="/xl/worksheets/sheet3.xml" Id="Re2131082ae7f4d68" /><Relationship Type="http://schemas.openxmlformats.org/officeDocument/2006/relationships/worksheet" Target="/xl/worksheets/sheet4.xml" Id="Rd7e8fb0e41b84242" /><Relationship Type="http://schemas.openxmlformats.org/officeDocument/2006/relationships/worksheet" Target="/xl/worksheets/sheet5.xml" Id="R7e9de912b3074c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34" hidden="0" customWidth="1"/>
    <x:col min="4" max="4" width="78" hidden="0" customWidth="1"/>
  </x:cols>
  <x:sheetData>
    <x:row r="1">
      <x:c r="A1" s="18" t="str">
        <x:v>Bus challan: trip details</x:v>
      </x:c>
      <x:c r="B1" s="8"/>
      <x:c r="C1" s="8"/>
      <x:c r="D1" s="8"/>
    </x:row>
    <x:row r="2">
      <x:c r="A2" s="8" t="str">
        <x:v>Yellow = input. Gray = shared/automatic. Both languages are created on save.</x:v>
      </x:c>
      <x:c r="B2" s="8"/>
      <x:c r="C2" s="8"/>
      <x:c r="D2" s="8"/>
    </x:row>
    <x:row r="3">
      <x:c r="A3" s="8"/>
      <x:c r="B3" s="8"/>
      <x:c r="C3" s="8"/>
      <x:c r="D3" s="8"/>
    </x:row>
    <x:row r="4" ht="34" customHeight="1">
      <x:c r="A4" s="17" t="str">
        <x:v>Field</x:v>
      </x:c>
      <x:c r="B4" s="17" t="str">
        <x:v>Main / outgoing</x:v>
      </x:c>
      <x:c r="C4" s="17" t="str">
        <x:v>Secondary / return</x:v>
      </x:c>
      <x:c r="D4" s="17" t="str">
        <x:v>How it works</x:v>
      </x:c>
    </x:row>
    <x:row r="5" ht="28" customHeight="1">
      <x:c r="A5" s="8" t="str">
        <x:v>Challan No</x:v>
      </x:c>
      <x:c r="B5" s="19" t="str">
        <x:v>Assigned on save</x:v>
      </x:c>
      <x:c r="C5" s="19" t="str">
        <x:v>Same as Main</x:v>
      </x:c>
      <x:c r="D5" s="8" t="str">
        <x:v>Assigned on save: 01/2026, 02/2026... Same number on both forms.</x:v>
      </x:c>
    </x:row>
    <x:row r="6" ht="28" customHeight="1">
      <x:c r="A6" s="8" t="str">
        <x:v>Vehicle No</x:v>
      </x:c>
      <x:c r="B6" s="20"/>
      <x:c r="C6" s="19" t="str">
        <x:f>IF(B6="","",B6)</x:f>
      </x:c>
      <x:c r="D6" s="8" t="str">
        <x:v>Shared on both forms; enter only in Main.</x:v>
      </x:c>
    </x:row>
    <x:row r="7" ht="28" customHeight="1">
      <x:c r="A7" s="8" t="str">
        <x:v>Coach No</x:v>
      </x:c>
      <x:c r="B7" s="20"/>
      <x:c r="C7" s="19" t="str">
        <x:f>IF(B7="","",B7)</x:f>
      </x:c>
      <x:c r="D7" s="8" t="str">
        <x:v>Shared on both forms; enter only in Main.</x:v>
      </x:c>
    </x:row>
    <x:row r="8" ht="28" customHeight="1">
      <x:c r="A8" s="8" t="str">
        <x:v>Permit No</x:v>
      </x:c>
      <x:c r="B8" s="20"/>
      <x:c r="C8" s="19" t="str">
        <x:f>IF(B8="","",B8)</x:f>
      </x:c>
      <x:c r="D8" s="8" t="str">
        <x:v>Shared on both forms; enter only in Main.</x:v>
      </x:c>
    </x:row>
    <x:row r="9" ht="28" customHeight="1">
      <x:c r="A9" s="8" t="str">
        <x:v>Driver</x:v>
      </x:c>
      <x:c r="B9" s="20"/>
      <x:c r="C9" s="20"/>
      <x:c r="D9" s="8" t="str">
        <x:v>Secondary uses Main unless you enter a replacement.</x:v>
      </x:c>
    </x:row>
    <x:row r="10" ht="28" customHeight="1">
      <x:c r="A10" s="8" t="str">
        <x:v>Driver Mobile</x:v>
      </x:c>
      <x:c r="B10" s="20"/>
      <x:c r="C10" s="20"/>
      <x:c r="D10" s="8" t="str">
        <x:v>Secondary uses Main unless you enter a replacement.</x:v>
      </x:c>
    </x:row>
    <x:row r="11" ht="28" customHeight="1">
      <x:c r="A11" s="8" t="str">
        <x:v>Guide</x:v>
      </x:c>
      <x:c r="B11" s="20"/>
      <x:c r="C11" s="19" t="str">
        <x:f>IF(B11="","",B11)</x:f>
      </x:c>
      <x:c r="D11" s="8" t="str">
        <x:v>Shared on both forms; enter only in Main.</x:v>
      </x:c>
    </x:row>
    <x:row r="12" ht="28" customHeight="1">
      <x:c r="A12" s="8" t="str">
        <x:v>Guide Mobile</x:v>
      </x:c>
      <x:c r="B12" s="20"/>
      <x:c r="C12" s="19" t="str">
        <x:f>IF(B12="","",B12)</x:f>
      </x:c>
      <x:c r="D12" s="8" t="str">
        <x:v>Shared on both forms; enter only in Main.</x:v>
      </x:c>
    </x:row>
    <x:row r="13" ht="28" customHeight="1">
      <x:c r="A13" s="8" t="str">
        <x:v>Checker Name</x:v>
      </x:c>
      <x:c r="B13" s="20"/>
      <x:c r="C13" s="19" t="str">
        <x:f>IF(B13="","",B13)</x:f>
      </x:c>
      <x:c r="D13" s="8" t="str">
        <x:v>Shared on both forms; enter only in Main.</x:v>
      </x:c>
    </x:row>
    <x:row r="14" ht="28" customHeight="1">
      <x:c r="A14" s="8" t="str">
        <x:v>Route</x:v>
      </x:c>
      <x:c r="B14" s="21"/>
      <x:c r="C14" s="22" t="str">
        <x:f>IF(B14="","",B14)</x:f>
      </x:c>
      <x:c r="D14" s="8" t="str">
        <x:v>Shared on both forms; enter only in Main.</x:v>
      </x:c>
    </x:row>
    <x:row r="15" ht="28" customHeight="1">
      <x:c r="A15" s="8" t="str">
        <x:v>Date</x:v>
      </x:c>
      <x:c r="B15" s="23"/>
      <x:c r="C15" s="23"/>
      <x:c r="D15" s="8" t="str">
        <x:v>Enter independently for both trips.</x:v>
      </x:c>
    </x:row>
    <x:row r="16" ht="28" customHeight="1">
      <x:c r="A16" s="8" t="str">
        <x:v>Time</x:v>
      </x:c>
      <x:c r="B16" s="24"/>
      <x:c r="C16" s="24"/>
      <x:c r="D16" s="8" t="str">
        <x:v>Enter independently for both trips.</x:v>
      </x:c>
    </x:row>
    <x:row r="17" ht="28" customHeight="1">
      <x:c r="A17" s="8" t="str">
        <x:v>Coaster No</x:v>
      </x:c>
      <x:c r="B17" s="20"/>
      <x:c r="C17" s="20"/>
      <x:c r="D17" s="8" t="str">
        <x:v>Optional external vehicle. Number requires its date, time and fare.</x:v>
      </x:c>
    </x:row>
    <x:row r="18" ht="28" customHeight="1">
      <x:c r="A18" s="8" t="str">
        <x:v>Coaster Date</x:v>
      </x:c>
      <x:c r="B18" s="23"/>
      <x:c r="C18" s="23"/>
      <x:c r="D18" s="8" t="str">
        <x:v>Optional external vehicle. Number requires its date, time and fare.</x:v>
      </x:c>
    </x:row>
    <x:row r="19" ht="28" customHeight="1">
      <x:c r="A19" s="8" t="str">
        <x:v>Coaster Time</x:v>
      </x:c>
      <x:c r="B19" s="24"/>
      <x:c r="C19" s="24"/>
      <x:c r="D19" s="8" t="str">
        <x:v>Optional external vehicle. Number requires its date, time and fare.</x:v>
      </x:c>
    </x:row>
    <x:row r="20" ht="28" customHeight="1">
      <x:c r="A20" s="8" t="str">
        <x:v>Coaster Fare</x:v>
      </x:c>
      <x:c r="B20" s="25" t="n">
        <x:v>0</x:v>
      </x:c>
      <x:c r="C20" s="25" t="n">
        <x:v>0</x:v>
      </x:c>
      <x:c r="D20" s="8" t="str">
        <x:v>Optional external vehicle. Number requires its date, time and fare.</x:v>
      </x:c>
    </x:row>
    <x:row r="21" ht="28" customHeight="1">
      <x:c r="A21" s="8" t="str">
        <x:v>Book Cash</x:v>
      </x:c>
      <x:c r="B21" s="25" t="n">
        <x:v>0</x:v>
      </x:c>
      <x:c r="C21" s="25" t="n">
        <x:v>0</x:v>
      </x:c>
      <x:c r="D21" s="8" t="str">
        <x:v>Defaults to zero for deposits. Enter another amount when needed.</x:v>
      </x:c>
    </x:row>
    <x:row r="22" ht="28" customHeight="1">
      <x:c r="A22" s="8" t="str">
        <x:v>Counter Deposit</x:v>
      </x:c>
      <x:c r="B22" s="25" t="n">
        <x:v>0</x:v>
      </x:c>
      <x:c r="C22" s="25" t="n">
        <x:v>0</x:v>
      </x:c>
      <x:c r="D22" s="8" t="str">
        <x:v>Defaults to zero for deposits. Enter another amount when needed.</x:v>
      </x:c>
    </x:row>
    <x:row r="23" ht="28" customHeight="1">
      <x:c r="A23" s="8" t="str">
        <x:v>Refund Deposit</x:v>
      </x:c>
      <x:c r="B23" s="25" t="n">
        <x:v>0</x:v>
      </x:c>
      <x:c r="C23" s="25" t="n">
        <x:v>0</x:v>
      </x:c>
      <x:c r="D23" s="8" t="str">
        <x:v>Defaults to zero for deposits. Enter another amount when needed.</x:v>
      </x:c>
    </x:row>
    <x:row r="24" ht="28" customHeight="1">
      <x:c r="A24" s="8" t="str">
        <x:v>Fuel Deposit</x:v>
      </x:c>
      <x:c r="B24" s="25" t="n">
        <x:v>0</x:v>
      </x:c>
      <x:c r="C24" s="25" t="n">
        <x:v>0</x:v>
      </x:c>
      <x:c r="D24" s="8" t="str">
        <x:v>Defaults to zero for deposits. Enter another amount when needed.</x:v>
      </x:c>
    </x:row>
    <x:row r="25" ht="28" customHeight="1">
      <x:c r="A25" s="8" t="str">
        <x:v>Wash Deposit</x:v>
      </x:c>
      <x:c r="B25" s="25" t="n">
        <x:v>0</x:v>
      </x:c>
      <x:c r="C25" s="25" t="n">
        <x:v>0</x:v>
      </x:c>
      <x:c r="D25" s="8" t="str">
        <x:v>Defaults to zero for deposits. Enter another amount when needed.</x:v>
      </x:c>
    </x:row>
    <x:row r="26" ht="28" customHeight="1">
      <x:c r="A26" s="8" t="str">
        <x:v>B5 Deposit</x:v>
      </x:c>
      <x:c r="B26" s="25" t="n">
        <x:v>0</x:v>
      </x:c>
      <x:c r="C26" s="25" t="n">
        <x:v>0</x:v>
      </x:c>
      <x:c r="D26" s="8" t="str">
        <x:v>Defaults to zero for deposits. Enter another amount when needed.</x:v>
      </x:c>
    </x:row>
    <x:row r="27" ht="28" customHeight="1">
      <x:c r="A27" s="8" t="str">
        <x:v>Sohoj Cash</x:v>
      </x:c>
      <x:c r="B27" s="25" t="n">
        <x:v>0</x:v>
      </x:c>
      <x:c r="C27" s="25" t="n">
        <x:v>0</x:v>
      </x:c>
      <x:c r="D27" s="8" t="str">
        <x:v>Defaults to zero for deposits. Enter another amount when needed.</x:v>
      </x:c>
    </x:row>
  </x:sheetData>
  <x:dataValidations count="1">
    <x:dataValidation type="list" sqref="B14">
      <x:formula1>INDIRECT("Routes!$A$5:$A$104")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9" hidden="0" customWidth="1"/>
    <x:col min="5" max="5" width="23" hidden="0" customWidth="1"/>
    <x:col min="6" max="6" width="22" hidden="0" customWidth="1"/>
    <x:col min="7" max="7" width="26" hidden="0" customWidth="1"/>
    <x:col min="8" max="8" width="21" hidden="0" customWidth="1"/>
  </x:cols>
  <x:sheetData>
    <x:row r="1">
      <x:c r="A1" s="18" t="str">
        <x:v>Main: choose a counter for each occupied seat</x:v>
      </x:c>
      <x:c r="B1" s="8"/>
      <x:c r="C1" s="8"/>
      <x:c r="D1" s="8"/>
      <x:c r="E1" s="8"/>
      <x:c r="F1" s="8"/>
      <x:c r="G1" s="8"/>
      <x:c r="H1" s="8"/>
    </x:row>
    <x:row r="2">
      <x:c r="A2" s="8" t="str">
        <x:v>Counter selection fills passenger, fare, commission, net and signatory. Optional fare override is at the right.</x:v>
      </x:c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 ht="34" customHeight="1">
      <x:c r="A4" s="36" t="str">
        <x:v>Seat No</x:v>
      </x:c>
      <x:c r="B4" s="36" t="str">
        <x:v>Counter</x:v>
      </x:c>
      <x:c r="C4" s="36" t="str">
        <x:v>Passengers</x:v>
      </x:c>
      <x:c r="D4" s="36" t="str">
        <x:v>Fare BDT</x:v>
      </x:c>
      <x:c r="E4" s="36" t="str">
        <x:v>Commission BDT</x:v>
      </x:c>
      <x:c r="F4" s="36" t="str">
        <x:v>Net BDT</x:v>
      </x:c>
      <x:c r="G4" s="36" t="str">
        <x:v>Signature</x:v>
      </x:c>
      <x:c r="H4" s="36" t="str">
        <x:v>Fare Override</x:v>
      </x:c>
    </x:row>
    <x:row r="5" ht="28" customHeight="1">
      <x:c r="A5" s="8" t="str">
        <x:v>A-1</x:v>
      </x:c>
      <x:c r="B5" s="11"/>
      <x:c r="C5" s="12" t="str">
        <x:f>IF(B5="","",1)</x:f>
      </x:c>
      <x:c r="D5" s="32" t="str">
        <x:f>IF(B5="","",IF('Trip Details'!$B$14="","Choose route",_xlfn.IFNA(IF(VLOOKUP('Trip Details'!$B$14,Routes!$A$5:$I$104,9,FALSE)&lt;&gt;"Ready","Set route",IF(COUNTA(H5)=0,VLOOKUP('Trip Details'!$B$14,Routes!$A$5:$I$104,4,FALSE),IF(COUNT(H5)=1,H5,"Check fare"))),"Set route")))</x:f>
      </x:c>
      <x:c r="E5" s="32" t="str">
        <x:f>IF(B5="","",_xlfn.IFNA(IF(VLOOKUP(B5,Counters!$A$5:$H$104,8,FALSE)&lt;&gt;"Ready","Set counter",IF(OR(VLOOKUP(B5,Counters!$A$5:$H$104,2,FALSE)="None",VLOOKUP(B5,Counters!$A$5:$H$104,2,FALSE)=0),0,IF(COUNT(D5)&lt;&gt;1,"Check fare",IF(VLOOKUP(B5,Counters!$A$5:$H$104,2,FALSE)="Fixed",VLOOKUP(B5,Counters!$A$5:$H$104,3,FALSE),ROUND(D5*VLOOKUP(B5,Counters!$A$5:$H$104,3,FALSE)/100,2))))),"Set counter"))</x:f>
      </x:c>
      <x:c r="F5" s="32" t="str">
        <x:f>IF(B5="","",IF(COUNT(D5:E5)&lt;&gt;2,"Check settings",IF(OR(D5&lt;0,E5&lt;0,E5&gt;D5,ROUND(D5,2)&lt;&gt;D5),"Check settings",D5-E5)))</x:f>
      </x:c>
      <x:c r="G5" s="12" t="str">
        <x:f>IF(B5="","",_xlfn.IFNA(IF(VLOOKUP(B5,Counters!$A$5:$H$104,4,FALSE)=0,"",VLOOKUP(B5,Counters!$A$5:$H$104,4,FALSE)),"Set counter"))</x:f>
      </x:c>
      <x:c r="H5" s="15"/>
    </x:row>
    <x:row r="6" ht="28" customHeight="1">
      <x:c r="A6" s="8" t="str">
        <x:v>A-2</x:v>
      </x:c>
      <x:c r="B6" s="11"/>
      <x:c r="C6" s="12" t="str">
        <x:f>IF(B6="","",1)</x:f>
      </x:c>
      <x:c r="D6" s="32" t="str">
        <x:f>IF(B6="","",IF('Trip Details'!$B$14="","Choose route",_xlfn.IFNA(IF(VLOOKUP('Trip Details'!$B$14,Routes!$A$5:$I$104,9,FALSE)&lt;&gt;"Ready","Set route",IF(COUNTA(H6)=0,VLOOKUP('Trip Details'!$B$14,Routes!$A$5:$I$104,4,FALSE),IF(COUNT(H6)=1,H6,"Check fare"))),"Set route")))</x:f>
      </x:c>
      <x:c r="E6" s="32" t="str">
        <x:f>IF(B6="","",_xlfn.IFNA(IF(VLOOKUP(B6,Counters!$A$5:$H$104,8,FALSE)&lt;&gt;"Ready","Set counter",IF(OR(VLOOKUP(B6,Counters!$A$5:$H$104,2,FALSE)="None",VLOOKUP(B6,Counters!$A$5:$H$104,2,FALSE)=0),0,IF(COUNT(D6)&lt;&gt;1,"Check fare",IF(VLOOKUP(B6,Counters!$A$5:$H$104,2,FALSE)="Fixed",VLOOKUP(B6,Counters!$A$5:$H$104,3,FALSE),ROUND(D6*VLOOKUP(B6,Counters!$A$5:$H$104,3,FALSE)/100,2))))),"Set counter"))</x:f>
      </x:c>
      <x:c r="F6" s="32" t="str">
        <x:f>IF(B6="","",IF(COUNT(D6:E6)&lt;&gt;2,"Check settings",IF(OR(D6&lt;0,E6&lt;0,E6&gt;D6,ROUND(D6,2)&lt;&gt;D6),"Check settings",D6-E6)))</x:f>
      </x:c>
      <x:c r="G6" s="12" t="str">
        <x:f>IF(B6="","",_xlfn.IFNA(IF(VLOOKUP(B6,Counters!$A$5:$H$104,4,FALSE)=0,"",VLOOKUP(B6,Counters!$A$5:$H$104,4,FALSE)),"Set counter"))</x:f>
      </x:c>
      <x:c r="H6" s="15"/>
    </x:row>
    <x:row r="7" ht="28" customHeight="1">
      <x:c r="A7" s="8" t="str">
        <x:v>A-3</x:v>
      </x:c>
      <x:c r="B7" s="11"/>
      <x:c r="C7" s="12" t="str">
        <x:f>IF(B7="","",1)</x:f>
      </x:c>
      <x:c r="D7" s="32" t="str">
        <x:f>IF(B7="","",IF('Trip Details'!$B$14="","Choose route",_xlfn.IFNA(IF(VLOOKUP('Trip Details'!$B$14,Routes!$A$5:$I$104,9,FALSE)&lt;&gt;"Ready","Set route",IF(COUNTA(H7)=0,VLOOKUP('Trip Details'!$B$14,Routes!$A$5:$I$104,4,FALSE),IF(COUNT(H7)=1,H7,"Check fare"))),"Set route")))</x:f>
      </x:c>
      <x:c r="E7" s="32" t="str">
        <x:f>IF(B7="","",_xlfn.IFNA(IF(VLOOKUP(B7,Counters!$A$5:$H$104,8,FALSE)&lt;&gt;"Ready","Set counter",IF(OR(VLOOKUP(B7,Counters!$A$5:$H$104,2,FALSE)="None",VLOOKUP(B7,Counters!$A$5:$H$104,2,FALSE)=0),0,IF(COUNT(D7)&lt;&gt;1,"Check fare",IF(VLOOKUP(B7,Counters!$A$5:$H$104,2,FALSE)="Fixed",VLOOKUP(B7,Counters!$A$5:$H$104,3,FALSE),ROUND(D7*VLOOKUP(B7,Counters!$A$5:$H$104,3,FALSE)/100,2))))),"Set counter"))</x:f>
      </x:c>
      <x:c r="F7" s="32" t="str">
        <x:f>IF(B7="","",IF(COUNT(D7:E7)&lt;&gt;2,"Check settings",IF(OR(D7&lt;0,E7&lt;0,E7&gt;D7,ROUND(D7,2)&lt;&gt;D7),"Check settings",D7-E7)))</x:f>
      </x:c>
      <x:c r="G7" s="12" t="str">
        <x:f>IF(B7="","",_xlfn.IFNA(IF(VLOOKUP(B7,Counters!$A$5:$H$104,4,FALSE)=0,"",VLOOKUP(B7,Counters!$A$5:$H$104,4,FALSE)),"Set counter"))</x:f>
      </x:c>
      <x:c r="H7" s="15"/>
    </x:row>
    <x:row r="8" ht="28" customHeight="1">
      <x:c r="A8" s="8" t="str">
        <x:v>A-4</x:v>
      </x:c>
      <x:c r="B8" s="11"/>
      <x:c r="C8" s="12" t="str">
        <x:f>IF(B8="","",1)</x:f>
      </x:c>
      <x:c r="D8" s="32" t="str">
        <x:f>IF(B8="","",IF('Trip Details'!$B$14="","Choose route",_xlfn.IFNA(IF(VLOOKUP('Trip Details'!$B$14,Routes!$A$5:$I$104,9,FALSE)&lt;&gt;"Ready","Set route",IF(COUNTA(H8)=0,VLOOKUP('Trip Details'!$B$14,Routes!$A$5:$I$104,4,FALSE),IF(COUNT(H8)=1,H8,"Check fare"))),"Set route")))</x:f>
      </x:c>
      <x:c r="E8" s="32" t="str">
        <x:f>IF(B8="","",_xlfn.IFNA(IF(VLOOKUP(B8,Counters!$A$5:$H$104,8,FALSE)&lt;&gt;"Ready","Set counter",IF(OR(VLOOKUP(B8,Counters!$A$5:$H$104,2,FALSE)="None",VLOOKUP(B8,Counters!$A$5:$H$104,2,FALSE)=0),0,IF(COUNT(D8)&lt;&gt;1,"Check fare",IF(VLOOKUP(B8,Counters!$A$5:$H$104,2,FALSE)="Fixed",VLOOKUP(B8,Counters!$A$5:$H$104,3,FALSE),ROUND(D8*VLOOKUP(B8,Counters!$A$5:$H$104,3,FALSE)/100,2))))),"Set counter"))</x:f>
      </x:c>
      <x:c r="F8" s="32" t="str">
        <x:f>IF(B8="","",IF(COUNT(D8:E8)&lt;&gt;2,"Check settings",IF(OR(D8&lt;0,E8&lt;0,E8&gt;D8,ROUND(D8,2)&lt;&gt;D8),"Check settings",D8-E8)))</x:f>
      </x:c>
      <x:c r="G8" s="12" t="str">
        <x:f>IF(B8="","",_xlfn.IFNA(IF(VLOOKUP(B8,Counters!$A$5:$H$104,4,FALSE)=0,"",VLOOKUP(B8,Counters!$A$5:$H$104,4,FALSE)),"Set counter"))</x:f>
      </x:c>
      <x:c r="H8" s="15"/>
    </x:row>
    <x:row r="9" ht="28" customHeight="1">
      <x:c r="A9" s="8" t="str">
        <x:v>B-1</x:v>
      </x:c>
      <x:c r="B9" s="11"/>
      <x:c r="C9" s="12" t="str">
        <x:f>IF(B9="","",1)</x:f>
      </x:c>
      <x:c r="D9" s="32" t="str">
        <x:f>IF(B9="","",IF('Trip Details'!$B$14="","Choose route",_xlfn.IFNA(IF(VLOOKUP('Trip Details'!$B$14,Routes!$A$5:$I$104,9,FALSE)&lt;&gt;"Ready","Set route",IF(COUNTA(H9)=0,VLOOKUP('Trip Details'!$B$14,Routes!$A$5:$I$104,4,FALSE),IF(COUNT(H9)=1,H9,"Check fare"))),"Set route")))</x:f>
      </x:c>
      <x:c r="E9" s="32" t="str">
        <x:f>IF(B9="","",_xlfn.IFNA(IF(VLOOKUP(B9,Counters!$A$5:$H$104,8,FALSE)&lt;&gt;"Ready","Set counter",IF(OR(VLOOKUP(B9,Counters!$A$5:$H$104,2,FALSE)="None",VLOOKUP(B9,Counters!$A$5:$H$104,2,FALSE)=0),0,IF(COUNT(D9)&lt;&gt;1,"Check fare",IF(VLOOKUP(B9,Counters!$A$5:$H$104,2,FALSE)="Fixed",VLOOKUP(B9,Counters!$A$5:$H$104,3,FALSE),ROUND(D9*VLOOKUP(B9,Counters!$A$5:$H$104,3,FALSE)/100,2))))),"Set counter"))</x:f>
      </x:c>
      <x:c r="F9" s="32" t="str">
        <x:f>IF(B9="","",IF(COUNT(D9:E9)&lt;&gt;2,"Check settings",IF(OR(D9&lt;0,E9&lt;0,E9&gt;D9,ROUND(D9,2)&lt;&gt;D9),"Check settings",D9-E9)))</x:f>
      </x:c>
      <x:c r="G9" s="12" t="str">
        <x:f>IF(B9="","",_xlfn.IFNA(IF(VLOOKUP(B9,Counters!$A$5:$H$104,4,FALSE)=0,"",VLOOKUP(B9,Counters!$A$5:$H$104,4,FALSE)),"Set counter"))</x:f>
      </x:c>
      <x:c r="H9" s="15"/>
    </x:row>
    <x:row r="10" ht="28" customHeight="1">
      <x:c r="A10" s="8" t="str">
        <x:v>B-2</x:v>
      </x:c>
      <x:c r="B10" s="11"/>
      <x:c r="C10" s="12" t="str">
        <x:f>IF(B10="","",1)</x:f>
      </x:c>
      <x:c r="D10" s="32" t="str">
        <x:f>IF(B10="","",IF('Trip Details'!$B$14="","Choose route",_xlfn.IFNA(IF(VLOOKUP('Trip Details'!$B$14,Routes!$A$5:$I$104,9,FALSE)&lt;&gt;"Ready","Set route",IF(COUNTA(H10)=0,VLOOKUP('Trip Details'!$B$14,Routes!$A$5:$I$104,4,FALSE),IF(COUNT(H10)=1,H10,"Check fare"))),"Set route")))</x:f>
      </x:c>
      <x:c r="E10" s="32" t="str">
        <x:f>IF(B10="","",_xlfn.IFNA(IF(VLOOKUP(B10,Counters!$A$5:$H$104,8,FALSE)&lt;&gt;"Ready","Set counter",IF(OR(VLOOKUP(B10,Counters!$A$5:$H$104,2,FALSE)="None",VLOOKUP(B10,Counters!$A$5:$H$104,2,FALSE)=0),0,IF(COUNT(D10)&lt;&gt;1,"Check fare",IF(VLOOKUP(B10,Counters!$A$5:$H$104,2,FALSE)="Fixed",VLOOKUP(B10,Counters!$A$5:$H$104,3,FALSE),ROUND(D10*VLOOKUP(B10,Counters!$A$5:$H$104,3,FALSE)/100,2))))),"Set counter"))</x:f>
      </x:c>
      <x:c r="F10" s="32" t="str">
        <x:f>IF(B10="","",IF(COUNT(D10:E10)&lt;&gt;2,"Check settings",IF(OR(D10&lt;0,E10&lt;0,E10&gt;D10,ROUND(D10,2)&lt;&gt;D10),"Check settings",D10-E10)))</x:f>
      </x:c>
      <x:c r="G10" s="12" t="str">
        <x:f>IF(B10="","",_xlfn.IFNA(IF(VLOOKUP(B10,Counters!$A$5:$H$104,4,FALSE)=0,"",VLOOKUP(B10,Counters!$A$5:$H$104,4,FALSE)),"Set counter"))</x:f>
      </x:c>
      <x:c r="H10" s="15"/>
    </x:row>
    <x:row r="11" ht="28" customHeight="1">
      <x:c r="A11" s="8" t="str">
        <x:v>B-3</x:v>
      </x:c>
      <x:c r="B11" s="11"/>
      <x:c r="C11" s="12" t="str">
        <x:f>IF(B11="","",1)</x:f>
      </x:c>
      <x:c r="D11" s="32" t="str">
        <x:f>IF(B11="","",IF('Trip Details'!$B$14="","Choose route",_xlfn.IFNA(IF(VLOOKUP('Trip Details'!$B$14,Routes!$A$5:$I$104,9,FALSE)&lt;&gt;"Ready","Set route",IF(COUNTA(H11)=0,VLOOKUP('Trip Details'!$B$14,Routes!$A$5:$I$104,4,FALSE),IF(COUNT(H11)=1,H11,"Check fare"))),"Set route")))</x:f>
      </x:c>
      <x:c r="E11" s="32" t="str">
        <x:f>IF(B11="","",_xlfn.IFNA(IF(VLOOKUP(B11,Counters!$A$5:$H$104,8,FALSE)&lt;&gt;"Ready","Set counter",IF(OR(VLOOKUP(B11,Counters!$A$5:$H$104,2,FALSE)="None",VLOOKUP(B11,Counters!$A$5:$H$104,2,FALSE)=0),0,IF(COUNT(D11)&lt;&gt;1,"Check fare",IF(VLOOKUP(B11,Counters!$A$5:$H$104,2,FALSE)="Fixed",VLOOKUP(B11,Counters!$A$5:$H$104,3,FALSE),ROUND(D11*VLOOKUP(B11,Counters!$A$5:$H$104,3,FALSE)/100,2))))),"Set counter"))</x:f>
      </x:c>
      <x:c r="F11" s="32" t="str">
        <x:f>IF(B11="","",IF(COUNT(D11:E11)&lt;&gt;2,"Check settings",IF(OR(D11&lt;0,E11&lt;0,E11&gt;D11,ROUND(D11,2)&lt;&gt;D11),"Check settings",D11-E11)))</x:f>
      </x:c>
      <x:c r="G11" s="12" t="str">
        <x:f>IF(B11="","",_xlfn.IFNA(IF(VLOOKUP(B11,Counters!$A$5:$H$104,4,FALSE)=0,"",VLOOKUP(B11,Counters!$A$5:$H$104,4,FALSE)),"Set counter"))</x:f>
      </x:c>
      <x:c r="H11" s="15"/>
    </x:row>
    <x:row r="12" ht="28" customHeight="1">
      <x:c r="A12" s="8" t="str">
        <x:v>B-4</x:v>
      </x:c>
      <x:c r="B12" s="11"/>
      <x:c r="C12" s="12" t="str">
        <x:f>IF(B12="","",1)</x:f>
      </x:c>
      <x:c r="D12" s="32" t="str">
        <x:f>IF(B12="","",IF('Trip Details'!$B$14="","Choose route",_xlfn.IFNA(IF(VLOOKUP('Trip Details'!$B$14,Routes!$A$5:$I$104,9,FALSE)&lt;&gt;"Ready","Set route",IF(COUNTA(H12)=0,VLOOKUP('Trip Details'!$B$14,Routes!$A$5:$I$104,4,FALSE),IF(COUNT(H12)=1,H12,"Check fare"))),"Set route")))</x:f>
      </x:c>
      <x:c r="E12" s="32" t="str">
        <x:f>IF(B12="","",_xlfn.IFNA(IF(VLOOKUP(B12,Counters!$A$5:$H$104,8,FALSE)&lt;&gt;"Ready","Set counter",IF(OR(VLOOKUP(B12,Counters!$A$5:$H$104,2,FALSE)="None",VLOOKUP(B12,Counters!$A$5:$H$104,2,FALSE)=0),0,IF(COUNT(D12)&lt;&gt;1,"Check fare",IF(VLOOKUP(B12,Counters!$A$5:$H$104,2,FALSE)="Fixed",VLOOKUP(B12,Counters!$A$5:$H$104,3,FALSE),ROUND(D12*VLOOKUP(B12,Counters!$A$5:$H$104,3,FALSE)/100,2))))),"Set counter"))</x:f>
      </x:c>
      <x:c r="F12" s="32" t="str">
        <x:f>IF(B12="","",IF(COUNT(D12:E12)&lt;&gt;2,"Check settings",IF(OR(D12&lt;0,E12&lt;0,E12&gt;D12,ROUND(D12,2)&lt;&gt;D12),"Check settings",D12-E12)))</x:f>
      </x:c>
      <x:c r="G12" s="12" t="str">
        <x:f>IF(B12="","",_xlfn.IFNA(IF(VLOOKUP(B12,Counters!$A$5:$H$104,4,FALSE)=0,"",VLOOKUP(B12,Counters!$A$5:$H$104,4,FALSE)),"Set counter"))</x:f>
      </x:c>
      <x:c r="H12" s="15"/>
    </x:row>
    <x:row r="13" ht="28" customHeight="1">
      <x:c r="A13" s="8" t="str">
        <x:v>C-1</x:v>
      </x:c>
      <x:c r="B13" s="11"/>
      <x:c r="C13" s="12" t="str">
        <x:f>IF(B13="","",1)</x:f>
      </x:c>
      <x:c r="D13" s="32" t="str">
        <x:f>IF(B13="","",IF('Trip Details'!$B$14="","Choose route",_xlfn.IFNA(IF(VLOOKUP('Trip Details'!$B$14,Routes!$A$5:$I$104,9,FALSE)&lt;&gt;"Ready","Set route",IF(COUNTA(H13)=0,VLOOKUP('Trip Details'!$B$14,Routes!$A$5:$I$104,4,FALSE),IF(COUNT(H13)=1,H13,"Check fare"))),"Set route")))</x:f>
      </x:c>
      <x:c r="E13" s="32" t="str">
        <x:f>IF(B13="","",_xlfn.IFNA(IF(VLOOKUP(B13,Counters!$A$5:$H$104,8,FALSE)&lt;&gt;"Ready","Set counter",IF(OR(VLOOKUP(B13,Counters!$A$5:$H$104,2,FALSE)="None",VLOOKUP(B13,Counters!$A$5:$H$104,2,FALSE)=0),0,IF(COUNT(D13)&lt;&gt;1,"Check fare",IF(VLOOKUP(B13,Counters!$A$5:$H$104,2,FALSE)="Fixed",VLOOKUP(B13,Counters!$A$5:$H$104,3,FALSE),ROUND(D13*VLOOKUP(B13,Counters!$A$5:$H$104,3,FALSE)/100,2))))),"Set counter"))</x:f>
      </x:c>
      <x:c r="F13" s="32" t="str">
        <x:f>IF(B13="","",IF(COUNT(D13:E13)&lt;&gt;2,"Check settings",IF(OR(D13&lt;0,E13&lt;0,E13&gt;D13,ROUND(D13,2)&lt;&gt;D13),"Check settings",D13-E13)))</x:f>
      </x:c>
      <x:c r="G13" s="12" t="str">
        <x:f>IF(B13="","",_xlfn.IFNA(IF(VLOOKUP(B13,Counters!$A$5:$H$104,4,FALSE)=0,"",VLOOKUP(B13,Counters!$A$5:$H$104,4,FALSE)),"Set counter"))</x:f>
      </x:c>
      <x:c r="H13" s="15"/>
    </x:row>
    <x:row r="14" ht="28" customHeight="1">
      <x:c r="A14" s="8" t="str">
        <x:v>C-2</x:v>
      </x:c>
      <x:c r="B14" s="11"/>
      <x:c r="C14" s="12" t="str">
        <x:f>IF(B14="","",1)</x:f>
      </x:c>
      <x:c r="D14" s="32" t="str">
        <x:f>IF(B14="","",IF('Trip Details'!$B$14="","Choose route",_xlfn.IFNA(IF(VLOOKUP('Trip Details'!$B$14,Routes!$A$5:$I$104,9,FALSE)&lt;&gt;"Ready","Set route",IF(COUNTA(H14)=0,VLOOKUP('Trip Details'!$B$14,Routes!$A$5:$I$104,4,FALSE),IF(COUNT(H14)=1,H14,"Check fare"))),"Set route")))</x:f>
      </x:c>
      <x:c r="E14" s="32" t="str">
        <x:f>IF(B14="","",_xlfn.IFNA(IF(VLOOKUP(B14,Counters!$A$5:$H$104,8,FALSE)&lt;&gt;"Ready","Set counter",IF(OR(VLOOKUP(B14,Counters!$A$5:$H$104,2,FALSE)="None",VLOOKUP(B14,Counters!$A$5:$H$104,2,FALSE)=0),0,IF(COUNT(D14)&lt;&gt;1,"Check fare",IF(VLOOKUP(B14,Counters!$A$5:$H$104,2,FALSE)="Fixed",VLOOKUP(B14,Counters!$A$5:$H$104,3,FALSE),ROUND(D14*VLOOKUP(B14,Counters!$A$5:$H$104,3,FALSE)/100,2))))),"Set counter"))</x:f>
      </x:c>
      <x:c r="F14" s="32" t="str">
        <x:f>IF(B14="","",IF(COUNT(D14:E14)&lt;&gt;2,"Check settings",IF(OR(D14&lt;0,E14&lt;0,E14&gt;D14,ROUND(D14,2)&lt;&gt;D14),"Check settings",D14-E14)))</x:f>
      </x:c>
      <x:c r="G14" s="12" t="str">
        <x:f>IF(B14="","",_xlfn.IFNA(IF(VLOOKUP(B14,Counters!$A$5:$H$104,4,FALSE)=0,"",VLOOKUP(B14,Counters!$A$5:$H$104,4,FALSE)),"Set counter"))</x:f>
      </x:c>
      <x:c r="H14" s="15"/>
    </x:row>
    <x:row r="15" ht="28" customHeight="1">
      <x:c r="A15" s="8" t="str">
        <x:v>C-3</x:v>
      </x:c>
      <x:c r="B15" s="11"/>
      <x:c r="C15" s="12" t="str">
        <x:f>IF(B15="","",1)</x:f>
      </x:c>
      <x:c r="D15" s="32" t="str">
        <x:f>IF(B15="","",IF('Trip Details'!$B$14="","Choose route",_xlfn.IFNA(IF(VLOOKUP('Trip Details'!$B$14,Routes!$A$5:$I$104,9,FALSE)&lt;&gt;"Ready","Set route",IF(COUNTA(H15)=0,VLOOKUP('Trip Details'!$B$14,Routes!$A$5:$I$104,4,FALSE),IF(COUNT(H15)=1,H15,"Check fare"))),"Set route")))</x:f>
      </x:c>
      <x:c r="E15" s="32" t="str">
        <x:f>IF(B15="","",_xlfn.IFNA(IF(VLOOKUP(B15,Counters!$A$5:$H$104,8,FALSE)&lt;&gt;"Ready","Set counter",IF(OR(VLOOKUP(B15,Counters!$A$5:$H$104,2,FALSE)="None",VLOOKUP(B15,Counters!$A$5:$H$104,2,FALSE)=0),0,IF(COUNT(D15)&lt;&gt;1,"Check fare",IF(VLOOKUP(B15,Counters!$A$5:$H$104,2,FALSE)="Fixed",VLOOKUP(B15,Counters!$A$5:$H$104,3,FALSE),ROUND(D15*VLOOKUP(B15,Counters!$A$5:$H$104,3,FALSE)/100,2))))),"Set counter"))</x:f>
      </x:c>
      <x:c r="F15" s="32" t="str">
        <x:f>IF(B15="","",IF(COUNT(D15:E15)&lt;&gt;2,"Check settings",IF(OR(D15&lt;0,E15&lt;0,E15&gt;D15,ROUND(D15,2)&lt;&gt;D15),"Check settings",D15-E15)))</x:f>
      </x:c>
      <x:c r="G15" s="12" t="str">
        <x:f>IF(B15="","",_xlfn.IFNA(IF(VLOOKUP(B15,Counters!$A$5:$H$104,4,FALSE)=0,"",VLOOKUP(B15,Counters!$A$5:$H$104,4,FALSE)),"Set counter"))</x:f>
      </x:c>
      <x:c r="H15" s="15"/>
    </x:row>
    <x:row r="16" ht="28" customHeight="1">
      <x:c r="A16" s="8" t="str">
        <x:v>C-4</x:v>
      </x:c>
      <x:c r="B16" s="11"/>
      <x:c r="C16" s="12" t="str">
        <x:f>IF(B16="","",1)</x:f>
      </x:c>
      <x:c r="D16" s="32" t="str">
        <x:f>IF(B16="","",IF('Trip Details'!$B$14="","Choose route",_xlfn.IFNA(IF(VLOOKUP('Trip Details'!$B$14,Routes!$A$5:$I$104,9,FALSE)&lt;&gt;"Ready","Set route",IF(COUNTA(H16)=0,VLOOKUP('Trip Details'!$B$14,Routes!$A$5:$I$104,4,FALSE),IF(COUNT(H16)=1,H16,"Check fare"))),"Set route")))</x:f>
      </x:c>
      <x:c r="E16" s="32" t="str">
        <x:f>IF(B16="","",_xlfn.IFNA(IF(VLOOKUP(B16,Counters!$A$5:$H$104,8,FALSE)&lt;&gt;"Ready","Set counter",IF(OR(VLOOKUP(B16,Counters!$A$5:$H$104,2,FALSE)="None",VLOOKUP(B16,Counters!$A$5:$H$104,2,FALSE)=0),0,IF(COUNT(D16)&lt;&gt;1,"Check fare",IF(VLOOKUP(B16,Counters!$A$5:$H$104,2,FALSE)="Fixed",VLOOKUP(B16,Counters!$A$5:$H$104,3,FALSE),ROUND(D16*VLOOKUP(B16,Counters!$A$5:$H$104,3,FALSE)/100,2))))),"Set counter"))</x:f>
      </x:c>
      <x:c r="F16" s="32" t="str">
        <x:f>IF(B16="","",IF(COUNT(D16:E16)&lt;&gt;2,"Check settings",IF(OR(D16&lt;0,E16&lt;0,E16&gt;D16,ROUND(D16,2)&lt;&gt;D16),"Check settings",D16-E16)))</x:f>
      </x:c>
      <x:c r="G16" s="12" t="str">
        <x:f>IF(B16="","",_xlfn.IFNA(IF(VLOOKUP(B16,Counters!$A$5:$H$104,4,FALSE)=0,"",VLOOKUP(B16,Counters!$A$5:$H$104,4,FALSE)),"Set counter"))</x:f>
      </x:c>
      <x:c r="H16" s="15"/>
    </x:row>
    <x:row r="17" ht="28" customHeight="1">
      <x:c r="A17" s="8" t="str">
        <x:v>D-1</x:v>
      </x:c>
      <x:c r="B17" s="11"/>
      <x:c r="C17" s="12" t="str">
        <x:f>IF(B17="","",1)</x:f>
      </x:c>
      <x:c r="D17" s="32" t="str">
        <x:f>IF(B17="","",IF('Trip Details'!$B$14="","Choose route",_xlfn.IFNA(IF(VLOOKUP('Trip Details'!$B$14,Routes!$A$5:$I$104,9,FALSE)&lt;&gt;"Ready","Set route",IF(COUNTA(H17)=0,VLOOKUP('Trip Details'!$B$14,Routes!$A$5:$I$104,4,FALSE),IF(COUNT(H17)=1,H17,"Check fare"))),"Set route")))</x:f>
      </x:c>
      <x:c r="E17" s="32" t="str">
        <x:f>IF(B17="","",_xlfn.IFNA(IF(VLOOKUP(B17,Counters!$A$5:$H$104,8,FALSE)&lt;&gt;"Ready","Set counter",IF(OR(VLOOKUP(B17,Counters!$A$5:$H$104,2,FALSE)="None",VLOOKUP(B17,Counters!$A$5:$H$104,2,FALSE)=0),0,IF(COUNT(D17)&lt;&gt;1,"Check fare",IF(VLOOKUP(B17,Counters!$A$5:$H$104,2,FALSE)="Fixed",VLOOKUP(B17,Counters!$A$5:$H$104,3,FALSE),ROUND(D17*VLOOKUP(B17,Counters!$A$5:$H$104,3,FALSE)/100,2))))),"Set counter"))</x:f>
      </x:c>
      <x:c r="F17" s="32" t="str">
        <x:f>IF(B17="","",IF(COUNT(D17:E17)&lt;&gt;2,"Check settings",IF(OR(D17&lt;0,E17&lt;0,E17&gt;D17,ROUND(D17,2)&lt;&gt;D17),"Check settings",D17-E17)))</x:f>
      </x:c>
      <x:c r="G17" s="12" t="str">
        <x:f>IF(B17="","",_xlfn.IFNA(IF(VLOOKUP(B17,Counters!$A$5:$H$104,4,FALSE)=0,"",VLOOKUP(B17,Counters!$A$5:$H$104,4,FALSE)),"Set counter"))</x:f>
      </x:c>
      <x:c r="H17" s="15"/>
    </x:row>
    <x:row r="18" ht="28" customHeight="1">
      <x:c r="A18" s="8" t="str">
        <x:v>D-2</x:v>
      </x:c>
      <x:c r="B18" s="11"/>
      <x:c r="C18" s="12" t="str">
        <x:f>IF(B18="","",1)</x:f>
      </x:c>
      <x:c r="D18" s="32" t="str">
        <x:f>IF(B18="","",IF('Trip Details'!$B$14="","Choose route",_xlfn.IFNA(IF(VLOOKUP('Trip Details'!$B$14,Routes!$A$5:$I$104,9,FALSE)&lt;&gt;"Ready","Set route",IF(COUNTA(H18)=0,VLOOKUP('Trip Details'!$B$14,Routes!$A$5:$I$104,4,FALSE),IF(COUNT(H18)=1,H18,"Check fare"))),"Set route")))</x:f>
      </x:c>
      <x:c r="E18" s="32" t="str">
        <x:f>IF(B18="","",_xlfn.IFNA(IF(VLOOKUP(B18,Counters!$A$5:$H$104,8,FALSE)&lt;&gt;"Ready","Set counter",IF(OR(VLOOKUP(B18,Counters!$A$5:$H$104,2,FALSE)="None",VLOOKUP(B18,Counters!$A$5:$H$104,2,FALSE)=0),0,IF(COUNT(D18)&lt;&gt;1,"Check fare",IF(VLOOKUP(B18,Counters!$A$5:$H$104,2,FALSE)="Fixed",VLOOKUP(B18,Counters!$A$5:$H$104,3,FALSE),ROUND(D18*VLOOKUP(B18,Counters!$A$5:$H$104,3,FALSE)/100,2))))),"Set counter"))</x:f>
      </x:c>
      <x:c r="F18" s="32" t="str">
        <x:f>IF(B18="","",IF(COUNT(D18:E18)&lt;&gt;2,"Check settings",IF(OR(D18&lt;0,E18&lt;0,E18&gt;D18,ROUND(D18,2)&lt;&gt;D18),"Check settings",D18-E18)))</x:f>
      </x:c>
      <x:c r="G18" s="12" t="str">
        <x:f>IF(B18="","",_xlfn.IFNA(IF(VLOOKUP(B18,Counters!$A$5:$H$104,4,FALSE)=0,"",VLOOKUP(B18,Counters!$A$5:$H$104,4,FALSE)),"Set counter"))</x:f>
      </x:c>
      <x:c r="H18" s="15"/>
    </x:row>
    <x:row r="19" ht="28" customHeight="1">
      <x:c r="A19" s="8" t="str">
        <x:v>D-3</x:v>
      </x:c>
      <x:c r="B19" s="11"/>
      <x:c r="C19" s="12" t="str">
        <x:f>IF(B19="","",1)</x:f>
      </x:c>
      <x:c r="D19" s="32" t="str">
        <x:f>IF(B19="","",IF('Trip Details'!$B$14="","Choose route",_xlfn.IFNA(IF(VLOOKUP('Trip Details'!$B$14,Routes!$A$5:$I$104,9,FALSE)&lt;&gt;"Ready","Set route",IF(COUNTA(H19)=0,VLOOKUP('Trip Details'!$B$14,Routes!$A$5:$I$104,4,FALSE),IF(COUNT(H19)=1,H19,"Check fare"))),"Set route")))</x:f>
      </x:c>
      <x:c r="E19" s="32" t="str">
        <x:f>IF(B19="","",_xlfn.IFNA(IF(VLOOKUP(B19,Counters!$A$5:$H$104,8,FALSE)&lt;&gt;"Ready","Set counter",IF(OR(VLOOKUP(B19,Counters!$A$5:$H$104,2,FALSE)="None",VLOOKUP(B19,Counters!$A$5:$H$104,2,FALSE)=0),0,IF(COUNT(D19)&lt;&gt;1,"Check fare",IF(VLOOKUP(B19,Counters!$A$5:$H$104,2,FALSE)="Fixed",VLOOKUP(B19,Counters!$A$5:$H$104,3,FALSE),ROUND(D19*VLOOKUP(B19,Counters!$A$5:$H$104,3,FALSE)/100,2))))),"Set counter"))</x:f>
      </x:c>
      <x:c r="F19" s="32" t="str">
        <x:f>IF(B19="","",IF(COUNT(D19:E19)&lt;&gt;2,"Check settings",IF(OR(D19&lt;0,E19&lt;0,E19&gt;D19,ROUND(D19,2)&lt;&gt;D19),"Check settings",D19-E19)))</x:f>
      </x:c>
      <x:c r="G19" s="12" t="str">
        <x:f>IF(B19="","",_xlfn.IFNA(IF(VLOOKUP(B19,Counters!$A$5:$H$104,4,FALSE)=0,"",VLOOKUP(B19,Counters!$A$5:$H$104,4,FALSE)),"Set counter"))</x:f>
      </x:c>
      <x:c r="H19" s="15"/>
    </x:row>
    <x:row r="20" ht="28" customHeight="1">
      <x:c r="A20" s="8" t="str">
        <x:v>D-4</x:v>
      </x:c>
      <x:c r="B20" s="11"/>
      <x:c r="C20" s="12" t="str">
        <x:f>IF(B20="","",1)</x:f>
      </x:c>
      <x:c r="D20" s="32" t="str">
        <x:f>IF(B20="","",IF('Trip Details'!$B$14="","Choose route",_xlfn.IFNA(IF(VLOOKUP('Trip Details'!$B$14,Routes!$A$5:$I$104,9,FALSE)&lt;&gt;"Ready","Set route",IF(COUNTA(H20)=0,VLOOKUP('Trip Details'!$B$14,Routes!$A$5:$I$104,4,FALSE),IF(COUNT(H20)=1,H20,"Check fare"))),"Set route")))</x:f>
      </x:c>
      <x:c r="E20" s="32" t="str">
        <x:f>IF(B20="","",_xlfn.IFNA(IF(VLOOKUP(B20,Counters!$A$5:$H$104,8,FALSE)&lt;&gt;"Ready","Set counter",IF(OR(VLOOKUP(B20,Counters!$A$5:$H$104,2,FALSE)="None",VLOOKUP(B20,Counters!$A$5:$H$104,2,FALSE)=0),0,IF(COUNT(D20)&lt;&gt;1,"Check fare",IF(VLOOKUP(B20,Counters!$A$5:$H$104,2,FALSE)="Fixed",VLOOKUP(B20,Counters!$A$5:$H$104,3,FALSE),ROUND(D20*VLOOKUP(B20,Counters!$A$5:$H$104,3,FALSE)/100,2))))),"Set counter"))</x:f>
      </x:c>
      <x:c r="F20" s="32" t="str">
        <x:f>IF(B20="","",IF(COUNT(D20:E20)&lt;&gt;2,"Check settings",IF(OR(D20&lt;0,E20&lt;0,E20&gt;D20,ROUND(D20,2)&lt;&gt;D20),"Check settings",D20-E20)))</x:f>
      </x:c>
      <x:c r="G20" s="12" t="str">
        <x:f>IF(B20="","",_xlfn.IFNA(IF(VLOOKUP(B20,Counters!$A$5:$H$104,4,FALSE)=0,"",VLOOKUP(B20,Counters!$A$5:$H$104,4,FALSE)),"Set counter"))</x:f>
      </x:c>
      <x:c r="H20" s="15"/>
    </x:row>
    <x:row r="21" ht="28" customHeight="1">
      <x:c r="A21" s="8" t="str">
        <x:v>E-1</x:v>
      </x:c>
      <x:c r="B21" s="11"/>
      <x:c r="C21" s="12" t="str">
        <x:f>IF(B21="","",1)</x:f>
      </x:c>
      <x:c r="D21" s="32" t="str">
        <x:f>IF(B21="","",IF('Trip Details'!$B$14="","Choose route",_xlfn.IFNA(IF(VLOOKUP('Trip Details'!$B$14,Routes!$A$5:$I$104,9,FALSE)&lt;&gt;"Ready","Set route",IF(COUNTA(H21)=0,VLOOKUP('Trip Details'!$B$14,Routes!$A$5:$I$104,4,FALSE),IF(COUNT(H21)=1,H21,"Check fare"))),"Set route")))</x:f>
      </x:c>
      <x:c r="E21" s="32" t="str">
        <x:f>IF(B21="","",_xlfn.IFNA(IF(VLOOKUP(B21,Counters!$A$5:$H$104,8,FALSE)&lt;&gt;"Ready","Set counter",IF(OR(VLOOKUP(B21,Counters!$A$5:$H$104,2,FALSE)="None",VLOOKUP(B21,Counters!$A$5:$H$104,2,FALSE)=0),0,IF(COUNT(D21)&lt;&gt;1,"Check fare",IF(VLOOKUP(B21,Counters!$A$5:$H$104,2,FALSE)="Fixed",VLOOKUP(B21,Counters!$A$5:$H$104,3,FALSE),ROUND(D21*VLOOKUP(B21,Counters!$A$5:$H$104,3,FALSE)/100,2))))),"Set counter"))</x:f>
      </x:c>
      <x:c r="F21" s="32" t="str">
        <x:f>IF(B21="","",IF(COUNT(D21:E21)&lt;&gt;2,"Check settings",IF(OR(D21&lt;0,E21&lt;0,E21&gt;D21,ROUND(D21,2)&lt;&gt;D21),"Check settings",D21-E21)))</x:f>
      </x:c>
      <x:c r="G21" s="12" t="str">
        <x:f>IF(B21="","",_xlfn.IFNA(IF(VLOOKUP(B21,Counters!$A$5:$H$104,4,FALSE)=0,"",VLOOKUP(B21,Counters!$A$5:$H$104,4,FALSE)),"Set counter"))</x:f>
      </x:c>
      <x:c r="H21" s="15"/>
    </x:row>
    <x:row r="22" ht="28" customHeight="1">
      <x:c r="A22" s="8" t="str">
        <x:v>E-2</x:v>
      </x:c>
      <x:c r="B22" s="11"/>
      <x:c r="C22" s="12" t="str">
        <x:f>IF(B22="","",1)</x:f>
      </x:c>
      <x:c r="D22" s="32" t="str">
        <x:f>IF(B22="","",IF('Trip Details'!$B$14="","Choose route",_xlfn.IFNA(IF(VLOOKUP('Trip Details'!$B$14,Routes!$A$5:$I$104,9,FALSE)&lt;&gt;"Ready","Set route",IF(COUNTA(H22)=0,VLOOKUP('Trip Details'!$B$14,Routes!$A$5:$I$104,4,FALSE),IF(COUNT(H22)=1,H22,"Check fare"))),"Set route")))</x:f>
      </x:c>
      <x:c r="E22" s="32" t="str">
        <x:f>IF(B22="","",_xlfn.IFNA(IF(VLOOKUP(B22,Counters!$A$5:$H$104,8,FALSE)&lt;&gt;"Ready","Set counter",IF(OR(VLOOKUP(B22,Counters!$A$5:$H$104,2,FALSE)="None",VLOOKUP(B22,Counters!$A$5:$H$104,2,FALSE)=0),0,IF(COUNT(D22)&lt;&gt;1,"Check fare",IF(VLOOKUP(B22,Counters!$A$5:$H$104,2,FALSE)="Fixed",VLOOKUP(B22,Counters!$A$5:$H$104,3,FALSE),ROUND(D22*VLOOKUP(B22,Counters!$A$5:$H$104,3,FALSE)/100,2))))),"Set counter"))</x:f>
      </x:c>
      <x:c r="F22" s="32" t="str">
        <x:f>IF(B22="","",IF(COUNT(D22:E22)&lt;&gt;2,"Check settings",IF(OR(D22&lt;0,E22&lt;0,E22&gt;D22,ROUND(D22,2)&lt;&gt;D22),"Check settings",D22-E22)))</x:f>
      </x:c>
      <x:c r="G22" s="12" t="str">
        <x:f>IF(B22="","",_xlfn.IFNA(IF(VLOOKUP(B22,Counters!$A$5:$H$104,4,FALSE)=0,"",VLOOKUP(B22,Counters!$A$5:$H$104,4,FALSE)),"Set counter"))</x:f>
      </x:c>
      <x:c r="H22" s="15"/>
    </x:row>
    <x:row r="23" ht="28" customHeight="1">
      <x:c r="A23" s="8" t="str">
        <x:v>E-3</x:v>
      </x:c>
      <x:c r="B23" s="11"/>
      <x:c r="C23" s="12" t="str">
        <x:f>IF(B23="","",1)</x:f>
      </x:c>
      <x:c r="D23" s="32" t="str">
        <x:f>IF(B23="","",IF('Trip Details'!$B$14="","Choose route",_xlfn.IFNA(IF(VLOOKUP('Trip Details'!$B$14,Routes!$A$5:$I$104,9,FALSE)&lt;&gt;"Ready","Set route",IF(COUNTA(H23)=0,VLOOKUP('Trip Details'!$B$14,Routes!$A$5:$I$104,4,FALSE),IF(COUNT(H23)=1,H23,"Check fare"))),"Set route")))</x:f>
      </x:c>
      <x:c r="E23" s="32" t="str">
        <x:f>IF(B23="","",_xlfn.IFNA(IF(VLOOKUP(B23,Counters!$A$5:$H$104,8,FALSE)&lt;&gt;"Ready","Set counter",IF(OR(VLOOKUP(B23,Counters!$A$5:$H$104,2,FALSE)="None",VLOOKUP(B23,Counters!$A$5:$H$104,2,FALSE)=0),0,IF(COUNT(D23)&lt;&gt;1,"Check fare",IF(VLOOKUP(B23,Counters!$A$5:$H$104,2,FALSE)="Fixed",VLOOKUP(B23,Counters!$A$5:$H$104,3,FALSE),ROUND(D23*VLOOKUP(B23,Counters!$A$5:$H$104,3,FALSE)/100,2))))),"Set counter"))</x:f>
      </x:c>
      <x:c r="F23" s="32" t="str">
        <x:f>IF(B23="","",IF(COUNT(D23:E23)&lt;&gt;2,"Check settings",IF(OR(D23&lt;0,E23&lt;0,E23&gt;D23,ROUND(D23,2)&lt;&gt;D23),"Check settings",D23-E23)))</x:f>
      </x:c>
      <x:c r="G23" s="12" t="str">
        <x:f>IF(B23="","",_xlfn.IFNA(IF(VLOOKUP(B23,Counters!$A$5:$H$104,4,FALSE)=0,"",VLOOKUP(B23,Counters!$A$5:$H$104,4,FALSE)),"Set counter"))</x:f>
      </x:c>
      <x:c r="H23" s="15"/>
    </x:row>
    <x:row r="24" ht="28" customHeight="1">
      <x:c r="A24" s="8" t="str">
        <x:v>E-4</x:v>
      </x:c>
      <x:c r="B24" s="11"/>
      <x:c r="C24" s="12" t="str">
        <x:f>IF(B24="","",1)</x:f>
      </x:c>
      <x:c r="D24" s="32" t="str">
        <x:f>IF(B24="","",IF('Trip Details'!$B$14="","Choose route",_xlfn.IFNA(IF(VLOOKUP('Trip Details'!$B$14,Routes!$A$5:$I$104,9,FALSE)&lt;&gt;"Ready","Set route",IF(COUNTA(H24)=0,VLOOKUP('Trip Details'!$B$14,Routes!$A$5:$I$104,4,FALSE),IF(COUNT(H24)=1,H24,"Check fare"))),"Set route")))</x:f>
      </x:c>
      <x:c r="E24" s="32" t="str">
        <x:f>IF(B24="","",_xlfn.IFNA(IF(VLOOKUP(B24,Counters!$A$5:$H$104,8,FALSE)&lt;&gt;"Ready","Set counter",IF(OR(VLOOKUP(B24,Counters!$A$5:$H$104,2,FALSE)="None",VLOOKUP(B24,Counters!$A$5:$H$104,2,FALSE)=0),0,IF(COUNT(D24)&lt;&gt;1,"Check fare",IF(VLOOKUP(B24,Counters!$A$5:$H$104,2,FALSE)="Fixed",VLOOKUP(B24,Counters!$A$5:$H$104,3,FALSE),ROUND(D24*VLOOKUP(B24,Counters!$A$5:$H$104,3,FALSE)/100,2))))),"Set counter"))</x:f>
      </x:c>
      <x:c r="F24" s="32" t="str">
        <x:f>IF(B24="","",IF(COUNT(D24:E24)&lt;&gt;2,"Check settings",IF(OR(D24&lt;0,E24&lt;0,E24&gt;D24,ROUND(D24,2)&lt;&gt;D24),"Check settings",D24-E24)))</x:f>
      </x:c>
      <x:c r="G24" s="12" t="str">
        <x:f>IF(B24="","",_xlfn.IFNA(IF(VLOOKUP(B24,Counters!$A$5:$H$104,4,FALSE)=0,"",VLOOKUP(B24,Counters!$A$5:$H$104,4,FALSE)),"Set counter"))</x:f>
      </x:c>
      <x:c r="H24" s="15"/>
    </x:row>
    <x:row r="25" ht="28" customHeight="1">
      <x:c r="A25" s="8" t="str">
        <x:v>F-1</x:v>
      </x:c>
      <x:c r="B25" s="11"/>
      <x:c r="C25" s="12" t="str">
        <x:f>IF(B25="","",1)</x:f>
      </x:c>
      <x:c r="D25" s="32" t="str">
        <x:f>IF(B25="","",IF('Trip Details'!$B$14="","Choose route",_xlfn.IFNA(IF(VLOOKUP('Trip Details'!$B$14,Routes!$A$5:$I$104,9,FALSE)&lt;&gt;"Ready","Set route",IF(COUNTA(H25)=0,VLOOKUP('Trip Details'!$B$14,Routes!$A$5:$I$104,4,FALSE),IF(COUNT(H25)=1,H25,"Check fare"))),"Set route")))</x:f>
      </x:c>
      <x:c r="E25" s="32" t="str">
        <x:f>IF(B25="","",_xlfn.IFNA(IF(VLOOKUP(B25,Counters!$A$5:$H$104,8,FALSE)&lt;&gt;"Ready","Set counter",IF(OR(VLOOKUP(B25,Counters!$A$5:$H$104,2,FALSE)="None",VLOOKUP(B25,Counters!$A$5:$H$104,2,FALSE)=0),0,IF(COUNT(D25)&lt;&gt;1,"Check fare",IF(VLOOKUP(B25,Counters!$A$5:$H$104,2,FALSE)="Fixed",VLOOKUP(B25,Counters!$A$5:$H$104,3,FALSE),ROUND(D25*VLOOKUP(B25,Counters!$A$5:$H$104,3,FALSE)/100,2))))),"Set counter"))</x:f>
      </x:c>
      <x:c r="F25" s="32" t="str">
        <x:f>IF(B25="","",IF(COUNT(D25:E25)&lt;&gt;2,"Check settings",IF(OR(D25&lt;0,E25&lt;0,E25&gt;D25,ROUND(D25,2)&lt;&gt;D25),"Check settings",D25-E25)))</x:f>
      </x:c>
      <x:c r="G25" s="12" t="str">
        <x:f>IF(B25="","",_xlfn.IFNA(IF(VLOOKUP(B25,Counters!$A$5:$H$104,4,FALSE)=0,"",VLOOKUP(B25,Counters!$A$5:$H$104,4,FALSE)),"Set counter"))</x:f>
      </x:c>
      <x:c r="H25" s="15"/>
    </x:row>
    <x:row r="26" ht="28" customHeight="1">
      <x:c r="A26" s="8" t="str">
        <x:v>F-2</x:v>
      </x:c>
      <x:c r="B26" s="11"/>
      <x:c r="C26" s="12" t="str">
        <x:f>IF(B26="","",1)</x:f>
      </x:c>
      <x:c r="D26" s="32" t="str">
        <x:f>IF(B26="","",IF('Trip Details'!$B$14="","Choose route",_xlfn.IFNA(IF(VLOOKUP('Trip Details'!$B$14,Routes!$A$5:$I$104,9,FALSE)&lt;&gt;"Ready","Set route",IF(COUNTA(H26)=0,VLOOKUP('Trip Details'!$B$14,Routes!$A$5:$I$104,4,FALSE),IF(COUNT(H26)=1,H26,"Check fare"))),"Set route")))</x:f>
      </x:c>
      <x:c r="E26" s="32" t="str">
        <x:f>IF(B26="","",_xlfn.IFNA(IF(VLOOKUP(B26,Counters!$A$5:$H$104,8,FALSE)&lt;&gt;"Ready","Set counter",IF(OR(VLOOKUP(B26,Counters!$A$5:$H$104,2,FALSE)="None",VLOOKUP(B26,Counters!$A$5:$H$104,2,FALSE)=0),0,IF(COUNT(D26)&lt;&gt;1,"Check fare",IF(VLOOKUP(B26,Counters!$A$5:$H$104,2,FALSE)="Fixed",VLOOKUP(B26,Counters!$A$5:$H$104,3,FALSE),ROUND(D26*VLOOKUP(B26,Counters!$A$5:$H$104,3,FALSE)/100,2))))),"Set counter"))</x:f>
      </x:c>
      <x:c r="F26" s="32" t="str">
        <x:f>IF(B26="","",IF(COUNT(D26:E26)&lt;&gt;2,"Check settings",IF(OR(D26&lt;0,E26&lt;0,E26&gt;D26,ROUND(D26,2)&lt;&gt;D26),"Check settings",D26-E26)))</x:f>
      </x:c>
      <x:c r="G26" s="12" t="str">
        <x:f>IF(B26="","",_xlfn.IFNA(IF(VLOOKUP(B26,Counters!$A$5:$H$104,4,FALSE)=0,"",VLOOKUP(B26,Counters!$A$5:$H$104,4,FALSE)),"Set counter"))</x:f>
      </x:c>
      <x:c r="H26" s="15"/>
    </x:row>
    <x:row r="27" ht="28" customHeight="1">
      <x:c r="A27" s="8" t="str">
        <x:v>F-3</x:v>
      </x:c>
      <x:c r="B27" s="11"/>
      <x:c r="C27" s="12" t="str">
        <x:f>IF(B27="","",1)</x:f>
      </x:c>
      <x:c r="D27" s="32" t="str">
        <x:f>IF(B27="","",IF('Trip Details'!$B$14="","Choose route",_xlfn.IFNA(IF(VLOOKUP('Trip Details'!$B$14,Routes!$A$5:$I$104,9,FALSE)&lt;&gt;"Ready","Set route",IF(COUNTA(H27)=0,VLOOKUP('Trip Details'!$B$14,Routes!$A$5:$I$104,4,FALSE),IF(COUNT(H27)=1,H27,"Check fare"))),"Set route")))</x:f>
      </x:c>
      <x:c r="E27" s="32" t="str">
        <x:f>IF(B27="","",_xlfn.IFNA(IF(VLOOKUP(B27,Counters!$A$5:$H$104,8,FALSE)&lt;&gt;"Ready","Set counter",IF(OR(VLOOKUP(B27,Counters!$A$5:$H$104,2,FALSE)="None",VLOOKUP(B27,Counters!$A$5:$H$104,2,FALSE)=0),0,IF(COUNT(D27)&lt;&gt;1,"Check fare",IF(VLOOKUP(B27,Counters!$A$5:$H$104,2,FALSE)="Fixed",VLOOKUP(B27,Counters!$A$5:$H$104,3,FALSE),ROUND(D27*VLOOKUP(B27,Counters!$A$5:$H$104,3,FALSE)/100,2))))),"Set counter"))</x:f>
      </x:c>
      <x:c r="F27" s="32" t="str">
        <x:f>IF(B27="","",IF(COUNT(D27:E27)&lt;&gt;2,"Check settings",IF(OR(D27&lt;0,E27&lt;0,E27&gt;D27,ROUND(D27,2)&lt;&gt;D27),"Check settings",D27-E27)))</x:f>
      </x:c>
      <x:c r="G27" s="12" t="str">
        <x:f>IF(B27="","",_xlfn.IFNA(IF(VLOOKUP(B27,Counters!$A$5:$H$104,4,FALSE)=0,"",VLOOKUP(B27,Counters!$A$5:$H$104,4,FALSE)),"Set counter"))</x:f>
      </x:c>
      <x:c r="H27" s="15"/>
    </x:row>
    <x:row r="28" ht="28" customHeight="1">
      <x:c r="A28" s="8" t="str">
        <x:v>F-4</x:v>
      </x:c>
      <x:c r="B28" s="11"/>
      <x:c r="C28" s="12" t="str">
        <x:f>IF(B28="","",1)</x:f>
      </x:c>
      <x:c r="D28" s="32" t="str">
        <x:f>IF(B28="","",IF('Trip Details'!$B$14="","Choose route",_xlfn.IFNA(IF(VLOOKUP('Trip Details'!$B$14,Routes!$A$5:$I$104,9,FALSE)&lt;&gt;"Ready","Set route",IF(COUNTA(H28)=0,VLOOKUP('Trip Details'!$B$14,Routes!$A$5:$I$104,4,FALSE),IF(COUNT(H28)=1,H28,"Check fare"))),"Set route")))</x:f>
      </x:c>
      <x:c r="E28" s="32" t="str">
        <x:f>IF(B28="","",_xlfn.IFNA(IF(VLOOKUP(B28,Counters!$A$5:$H$104,8,FALSE)&lt;&gt;"Ready","Set counter",IF(OR(VLOOKUP(B28,Counters!$A$5:$H$104,2,FALSE)="None",VLOOKUP(B28,Counters!$A$5:$H$104,2,FALSE)=0),0,IF(COUNT(D28)&lt;&gt;1,"Check fare",IF(VLOOKUP(B28,Counters!$A$5:$H$104,2,FALSE)="Fixed",VLOOKUP(B28,Counters!$A$5:$H$104,3,FALSE),ROUND(D28*VLOOKUP(B28,Counters!$A$5:$H$104,3,FALSE)/100,2))))),"Set counter"))</x:f>
      </x:c>
      <x:c r="F28" s="32" t="str">
        <x:f>IF(B28="","",IF(COUNT(D28:E28)&lt;&gt;2,"Check settings",IF(OR(D28&lt;0,E28&lt;0,E28&gt;D28,ROUND(D28,2)&lt;&gt;D28),"Check settings",D28-E28)))</x:f>
      </x:c>
      <x:c r="G28" s="12" t="str">
        <x:f>IF(B28="","",_xlfn.IFNA(IF(VLOOKUP(B28,Counters!$A$5:$H$104,4,FALSE)=0,"",VLOOKUP(B28,Counters!$A$5:$H$104,4,FALSE)),"Set counter"))</x:f>
      </x:c>
      <x:c r="H28" s="15"/>
    </x:row>
    <x:row r="29" ht="28" customHeight="1">
      <x:c r="A29" s="8" t="str">
        <x:v>G-1</x:v>
      </x:c>
      <x:c r="B29" s="11"/>
      <x:c r="C29" s="12" t="str">
        <x:f>IF(B29="","",1)</x:f>
      </x:c>
      <x:c r="D29" s="32" t="str">
        <x:f>IF(B29="","",IF('Trip Details'!$B$14="","Choose route",_xlfn.IFNA(IF(VLOOKUP('Trip Details'!$B$14,Routes!$A$5:$I$104,9,FALSE)&lt;&gt;"Ready","Set route",IF(COUNTA(H29)=0,VLOOKUP('Trip Details'!$B$14,Routes!$A$5:$I$104,4,FALSE),IF(COUNT(H29)=1,H29,"Check fare"))),"Set route")))</x:f>
      </x:c>
      <x:c r="E29" s="32" t="str">
        <x:f>IF(B29="","",_xlfn.IFNA(IF(VLOOKUP(B29,Counters!$A$5:$H$104,8,FALSE)&lt;&gt;"Ready","Set counter",IF(OR(VLOOKUP(B29,Counters!$A$5:$H$104,2,FALSE)="None",VLOOKUP(B29,Counters!$A$5:$H$104,2,FALSE)=0),0,IF(COUNT(D29)&lt;&gt;1,"Check fare",IF(VLOOKUP(B29,Counters!$A$5:$H$104,2,FALSE)="Fixed",VLOOKUP(B29,Counters!$A$5:$H$104,3,FALSE),ROUND(D29*VLOOKUP(B29,Counters!$A$5:$H$104,3,FALSE)/100,2))))),"Set counter"))</x:f>
      </x:c>
      <x:c r="F29" s="32" t="str">
        <x:f>IF(B29="","",IF(COUNT(D29:E29)&lt;&gt;2,"Check settings",IF(OR(D29&lt;0,E29&lt;0,E29&gt;D29,ROUND(D29,2)&lt;&gt;D29),"Check settings",D29-E29)))</x:f>
      </x:c>
      <x:c r="G29" s="12" t="str">
        <x:f>IF(B29="","",_xlfn.IFNA(IF(VLOOKUP(B29,Counters!$A$5:$H$104,4,FALSE)=0,"",VLOOKUP(B29,Counters!$A$5:$H$104,4,FALSE)),"Set counter"))</x:f>
      </x:c>
      <x:c r="H29" s="15"/>
    </x:row>
    <x:row r="30" ht="28" customHeight="1">
      <x:c r="A30" s="8" t="str">
        <x:v>G-2</x:v>
      </x:c>
      <x:c r="B30" s="11"/>
      <x:c r="C30" s="12" t="str">
        <x:f>IF(B30="","",1)</x:f>
      </x:c>
      <x:c r="D30" s="32" t="str">
        <x:f>IF(B30="","",IF('Trip Details'!$B$14="","Choose route",_xlfn.IFNA(IF(VLOOKUP('Trip Details'!$B$14,Routes!$A$5:$I$104,9,FALSE)&lt;&gt;"Ready","Set route",IF(COUNTA(H30)=0,VLOOKUP('Trip Details'!$B$14,Routes!$A$5:$I$104,4,FALSE),IF(COUNT(H30)=1,H30,"Check fare"))),"Set route")))</x:f>
      </x:c>
      <x:c r="E30" s="32" t="str">
        <x:f>IF(B30="","",_xlfn.IFNA(IF(VLOOKUP(B30,Counters!$A$5:$H$104,8,FALSE)&lt;&gt;"Ready","Set counter",IF(OR(VLOOKUP(B30,Counters!$A$5:$H$104,2,FALSE)="None",VLOOKUP(B30,Counters!$A$5:$H$104,2,FALSE)=0),0,IF(COUNT(D30)&lt;&gt;1,"Check fare",IF(VLOOKUP(B30,Counters!$A$5:$H$104,2,FALSE)="Fixed",VLOOKUP(B30,Counters!$A$5:$H$104,3,FALSE),ROUND(D30*VLOOKUP(B30,Counters!$A$5:$H$104,3,FALSE)/100,2))))),"Set counter"))</x:f>
      </x:c>
      <x:c r="F30" s="32" t="str">
        <x:f>IF(B30="","",IF(COUNT(D30:E30)&lt;&gt;2,"Check settings",IF(OR(D30&lt;0,E30&lt;0,E30&gt;D30,ROUND(D30,2)&lt;&gt;D30),"Check settings",D30-E30)))</x:f>
      </x:c>
      <x:c r="G30" s="12" t="str">
        <x:f>IF(B30="","",_xlfn.IFNA(IF(VLOOKUP(B30,Counters!$A$5:$H$104,4,FALSE)=0,"",VLOOKUP(B30,Counters!$A$5:$H$104,4,FALSE)),"Set counter"))</x:f>
      </x:c>
      <x:c r="H30" s="15"/>
    </x:row>
    <x:row r="31" ht="28" customHeight="1">
      <x:c r="A31" s="8" t="str">
        <x:v>G-3</x:v>
      </x:c>
      <x:c r="B31" s="11"/>
      <x:c r="C31" s="12" t="str">
        <x:f>IF(B31="","",1)</x:f>
      </x:c>
      <x:c r="D31" s="32" t="str">
        <x:f>IF(B31="","",IF('Trip Details'!$B$14="","Choose route",_xlfn.IFNA(IF(VLOOKUP('Trip Details'!$B$14,Routes!$A$5:$I$104,9,FALSE)&lt;&gt;"Ready","Set route",IF(COUNTA(H31)=0,VLOOKUP('Trip Details'!$B$14,Routes!$A$5:$I$104,4,FALSE),IF(COUNT(H31)=1,H31,"Check fare"))),"Set route")))</x:f>
      </x:c>
      <x:c r="E31" s="32" t="str">
        <x:f>IF(B31="","",_xlfn.IFNA(IF(VLOOKUP(B31,Counters!$A$5:$H$104,8,FALSE)&lt;&gt;"Ready","Set counter",IF(OR(VLOOKUP(B31,Counters!$A$5:$H$104,2,FALSE)="None",VLOOKUP(B31,Counters!$A$5:$H$104,2,FALSE)=0),0,IF(COUNT(D31)&lt;&gt;1,"Check fare",IF(VLOOKUP(B31,Counters!$A$5:$H$104,2,FALSE)="Fixed",VLOOKUP(B31,Counters!$A$5:$H$104,3,FALSE),ROUND(D31*VLOOKUP(B31,Counters!$A$5:$H$104,3,FALSE)/100,2))))),"Set counter"))</x:f>
      </x:c>
      <x:c r="F31" s="32" t="str">
        <x:f>IF(B31="","",IF(COUNT(D31:E31)&lt;&gt;2,"Check settings",IF(OR(D31&lt;0,E31&lt;0,E31&gt;D31,ROUND(D31,2)&lt;&gt;D31),"Check settings",D31-E31)))</x:f>
      </x:c>
      <x:c r="G31" s="12" t="str">
        <x:f>IF(B31="","",_xlfn.IFNA(IF(VLOOKUP(B31,Counters!$A$5:$H$104,4,FALSE)=0,"",VLOOKUP(B31,Counters!$A$5:$H$104,4,FALSE)),"Set counter"))</x:f>
      </x:c>
      <x:c r="H31" s="15"/>
    </x:row>
    <x:row r="32" ht="28" customHeight="1">
      <x:c r="A32" s="8" t="str">
        <x:v>G-4</x:v>
      </x:c>
      <x:c r="B32" s="11"/>
      <x:c r="C32" s="12" t="str">
        <x:f>IF(B32="","",1)</x:f>
      </x:c>
      <x:c r="D32" s="32" t="str">
        <x:f>IF(B32="","",IF('Trip Details'!$B$14="","Choose route",_xlfn.IFNA(IF(VLOOKUP('Trip Details'!$B$14,Routes!$A$5:$I$104,9,FALSE)&lt;&gt;"Ready","Set route",IF(COUNTA(H32)=0,VLOOKUP('Trip Details'!$B$14,Routes!$A$5:$I$104,4,FALSE),IF(COUNT(H32)=1,H32,"Check fare"))),"Set route")))</x:f>
      </x:c>
      <x:c r="E32" s="32" t="str">
        <x:f>IF(B32="","",_xlfn.IFNA(IF(VLOOKUP(B32,Counters!$A$5:$H$104,8,FALSE)&lt;&gt;"Ready","Set counter",IF(OR(VLOOKUP(B32,Counters!$A$5:$H$104,2,FALSE)="None",VLOOKUP(B32,Counters!$A$5:$H$104,2,FALSE)=0),0,IF(COUNT(D32)&lt;&gt;1,"Check fare",IF(VLOOKUP(B32,Counters!$A$5:$H$104,2,FALSE)="Fixed",VLOOKUP(B32,Counters!$A$5:$H$104,3,FALSE),ROUND(D32*VLOOKUP(B32,Counters!$A$5:$H$104,3,FALSE)/100,2))))),"Set counter"))</x:f>
      </x:c>
      <x:c r="F32" s="32" t="str">
        <x:f>IF(B32="","",IF(COUNT(D32:E32)&lt;&gt;2,"Check settings",IF(OR(D32&lt;0,E32&lt;0,E32&gt;D32,ROUND(D32,2)&lt;&gt;D32),"Check settings",D32-E32)))</x:f>
      </x:c>
      <x:c r="G32" s="12" t="str">
        <x:f>IF(B32="","",_xlfn.IFNA(IF(VLOOKUP(B32,Counters!$A$5:$H$104,4,FALSE)=0,"",VLOOKUP(B32,Counters!$A$5:$H$104,4,FALSE)),"Set counter"))</x:f>
      </x:c>
      <x:c r="H32" s="15"/>
    </x:row>
    <x:row r="33" ht="28" customHeight="1">
      <x:c r="A33" s="8" t="str">
        <x:v>H-1</x:v>
      </x:c>
      <x:c r="B33" s="11"/>
      <x:c r="C33" s="12" t="str">
        <x:f>IF(B33="","",1)</x:f>
      </x:c>
      <x:c r="D33" s="32" t="str">
        <x:f>IF(B33="","",IF('Trip Details'!$B$14="","Choose route",_xlfn.IFNA(IF(VLOOKUP('Trip Details'!$B$14,Routes!$A$5:$I$104,9,FALSE)&lt;&gt;"Ready","Set route",IF(COUNTA(H33)=0,VLOOKUP('Trip Details'!$B$14,Routes!$A$5:$I$104,4,FALSE),IF(COUNT(H33)=1,H33,"Check fare"))),"Set route")))</x:f>
      </x:c>
      <x:c r="E33" s="32" t="str">
        <x:f>IF(B33="","",_xlfn.IFNA(IF(VLOOKUP(B33,Counters!$A$5:$H$104,8,FALSE)&lt;&gt;"Ready","Set counter",IF(OR(VLOOKUP(B33,Counters!$A$5:$H$104,2,FALSE)="None",VLOOKUP(B33,Counters!$A$5:$H$104,2,FALSE)=0),0,IF(COUNT(D33)&lt;&gt;1,"Check fare",IF(VLOOKUP(B33,Counters!$A$5:$H$104,2,FALSE)="Fixed",VLOOKUP(B33,Counters!$A$5:$H$104,3,FALSE),ROUND(D33*VLOOKUP(B33,Counters!$A$5:$H$104,3,FALSE)/100,2))))),"Set counter"))</x:f>
      </x:c>
      <x:c r="F33" s="32" t="str">
        <x:f>IF(B33="","",IF(COUNT(D33:E33)&lt;&gt;2,"Check settings",IF(OR(D33&lt;0,E33&lt;0,E33&gt;D33,ROUND(D33,2)&lt;&gt;D33),"Check settings",D33-E33)))</x:f>
      </x:c>
      <x:c r="G33" s="12" t="str">
        <x:f>IF(B33="","",_xlfn.IFNA(IF(VLOOKUP(B33,Counters!$A$5:$H$104,4,FALSE)=0,"",VLOOKUP(B33,Counters!$A$5:$H$104,4,FALSE)),"Set counter"))</x:f>
      </x:c>
      <x:c r="H33" s="15"/>
    </x:row>
    <x:row r="34" ht="28" customHeight="1">
      <x:c r="A34" s="8" t="str">
        <x:v>H-2</x:v>
      </x:c>
      <x:c r="B34" s="11"/>
      <x:c r="C34" s="12" t="str">
        <x:f>IF(B34="","",1)</x:f>
      </x:c>
      <x:c r="D34" s="32" t="str">
        <x:f>IF(B34="","",IF('Trip Details'!$B$14="","Choose route",_xlfn.IFNA(IF(VLOOKUP('Trip Details'!$B$14,Routes!$A$5:$I$104,9,FALSE)&lt;&gt;"Ready","Set route",IF(COUNTA(H34)=0,VLOOKUP('Trip Details'!$B$14,Routes!$A$5:$I$104,4,FALSE),IF(COUNT(H34)=1,H34,"Check fare"))),"Set route")))</x:f>
      </x:c>
      <x:c r="E34" s="32" t="str">
        <x:f>IF(B34="","",_xlfn.IFNA(IF(VLOOKUP(B34,Counters!$A$5:$H$104,8,FALSE)&lt;&gt;"Ready","Set counter",IF(OR(VLOOKUP(B34,Counters!$A$5:$H$104,2,FALSE)="None",VLOOKUP(B34,Counters!$A$5:$H$104,2,FALSE)=0),0,IF(COUNT(D34)&lt;&gt;1,"Check fare",IF(VLOOKUP(B34,Counters!$A$5:$H$104,2,FALSE)="Fixed",VLOOKUP(B34,Counters!$A$5:$H$104,3,FALSE),ROUND(D34*VLOOKUP(B34,Counters!$A$5:$H$104,3,FALSE)/100,2))))),"Set counter"))</x:f>
      </x:c>
      <x:c r="F34" s="32" t="str">
        <x:f>IF(B34="","",IF(COUNT(D34:E34)&lt;&gt;2,"Check settings",IF(OR(D34&lt;0,E34&lt;0,E34&gt;D34,ROUND(D34,2)&lt;&gt;D34),"Check settings",D34-E34)))</x:f>
      </x:c>
      <x:c r="G34" s="12" t="str">
        <x:f>IF(B34="","",_xlfn.IFNA(IF(VLOOKUP(B34,Counters!$A$5:$H$104,4,FALSE)=0,"",VLOOKUP(B34,Counters!$A$5:$H$104,4,FALSE)),"Set counter"))</x:f>
      </x:c>
      <x:c r="H34" s="15"/>
    </x:row>
    <x:row r="35" ht="28" customHeight="1">
      <x:c r="A35" s="8" t="str">
        <x:v>H-3</x:v>
      </x:c>
      <x:c r="B35" s="11"/>
      <x:c r="C35" s="12" t="str">
        <x:f>IF(B35="","",1)</x:f>
      </x:c>
      <x:c r="D35" s="32" t="str">
        <x:f>IF(B35="","",IF('Trip Details'!$B$14="","Choose route",_xlfn.IFNA(IF(VLOOKUP('Trip Details'!$B$14,Routes!$A$5:$I$104,9,FALSE)&lt;&gt;"Ready","Set route",IF(COUNTA(H35)=0,VLOOKUP('Trip Details'!$B$14,Routes!$A$5:$I$104,4,FALSE),IF(COUNT(H35)=1,H35,"Check fare"))),"Set route")))</x:f>
      </x:c>
      <x:c r="E35" s="32" t="str">
        <x:f>IF(B35="","",_xlfn.IFNA(IF(VLOOKUP(B35,Counters!$A$5:$H$104,8,FALSE)&lt;&gt;"Ready","Set counter",IF(OR(VLOOKUP(B35,Counters!$A$5:$H$104,2,FALSE)="None",VLOOKUP(B35,Counters!$A$5:$H$104,2,FALSE)=0),0,IF(COUNT(D35)&lt;&gt;1,"Check fare",IF(VLOOKUP(B35,Counters!$A$5:$H$104,2,FALSE)="Fixed",VLOOKUP(B35,Counters!$A$5:$H$104,3,FALSE),ROUND(D35*VLOOKUP(B35,Counters!$A$5:$H$104,3,FALSE)/100,2))))),"Set counter"))</x:f>
      </x:c>
      <x:c r="F35" s="32" t="str">
        <x:f>IF(B35="","",IF(COUNT(D35:E35)&lt;&gt;2,"Check settings",IF(OR(D35&lt;0,E35&lt;0,E35&gt;D35,ROUND(D35,2)&lt;&gt;D35),"Check settings",D35-E35)))</x:f>
      </x:c>
      <x:c r="G35" s="12" t="str">
        <x:f>IF(B35="","",_xlfn.IFNA(IF(VLOOKUP(B35,Counters!$A$5:$H$104,4,FALSE)=0,"",VLOOKUP(B35,Counters!$A$5:$H$104,4,FALSE)),"Set counter"))</x:f>
      </x:c>
      <x:c r="H35" s="15"/>
    </x:row>
    <x:row r="36" ht="28" customHeight="1">
      <x:c r="A36" s="8" t="str">
        <x:v>H-4</x:v>
      </x:c>
      <x:c r="B36" s="11"/>
      <x:c r="C36" s="12" t="str">
        <x:f>IF(B36="","",1)</x:f>
      </x:c>
      <x:c r="D36" s="32" t="str">
        <x:f>IF(B36="","",IF('Trip Details'!$B$14="","Choose route",_xlfn.IFNA(IF(VLOOKUP('Trip Details'!$B$14,Routes!$A$5:$I$104,9,FALSE)&lt;&gt;"Ready","Set route",IF(COUNTA(H36)=0,VLOOKUP('Trip Details'!$B$14,Routes!$A$5:$I$104,4,FALSE),IF(COUNT(H36)=1,H36,"Check fare"))),"Set route")))</x:f>
      </x:c>
      <x:c r="E36" s="32" t="str">
        <x:f>IF(B36="","",_xlfn.IFNA(IF(VLOOKUP(B36,Counters!$A$5:$H$104,8,FALSE)&lt;&gt;"Ready","Set counter",IF(OR(VLOOKUP(B36,Counters!$A$5:$H$104,2,FALSE)="None",VLOOKUP(B36,Counters!$A$5:$H$104,2,FALSE)=0),0,IF(COUNT(D36)&lt;&gt;1,"Check fare",IF(VLOOKUP(B36,Counters!$A$5:$H$104,2,FALSE)="Fixed",VLOOKUP(B36,Counters!$A$5:$H$104,3,FALSE),ROUND(D36*VLOOKUP(B36,Counters!$A$5:$H$104,3,FALSE)/100,2))))),"Set counter"))</x:f>
      </x:c>
      <x:c r="F36" s="32" t="str">
        <x:f>IF(B36="","",IF(COUNT(D36:E36)&lt;&gt;2,"Check settings",IF(OR(D36&lt;0,E36&lt;0,E36&gt;D36,ROUND(D36,2)&lt;&gt;D36),"Check settings",D36-E36)))</x:f>
      </x:c>
      <x:c r="G36" s="12" t="str">
        <x:f>IF(B36="","",_xlfn.IFNA(IF(VLOOKUP(B36,Counters!$A$5:$H$104,4,FALSE)=0,"",VLOOKUP(B36,Counters!$A$5:$H$104,4,FALSE)),"Set counter"))</x:f>
      </x:c>
      <x:c r="H36" s="15"/>
    </x:row>
    <x:row r="37" ht="28" customHeight="1">
      <x:c r="A37" s="8" t="str">
        <x:v>I-1</x:v>
      </x:c>
      <x:c r="B37" s="11"/>
      <x:c r="C37" s="12" t="str">
        <x:f>IF(B37="","",1)</x:f>
      </x:c>
      <x:c r="D37" s="32" t="str">
        <x:f>IF(B37="","",IF('Trip Details'!$B$14="","Choose route",_xlfn.IFNA(IF(VLOOKUP('Trip Details'!$B$14,Routes!$A$5:$I$104,9,FALSE)&lt;&gt;"Ready","Set route",IF(COUNTA(H37)=0,VLOOKUP('Trip Details'!$B$14,Routes!$A$5:$I$104,4,FALSE),IF(COUNT(H37)=1,H37,"Check fare"))),"Set route")))</x:f>
      </x:c>
      <x:c r="E37" s="32" t="str">
        <x:f>IF(B37="","",_xlfn.IFNA(IF(VLOOKUP(B37,Counters!$A$5:$H$104,8,FALSE)&lt;&gt;"Ready","Set counter",IF(OR(VLOOKUP(B37,Counters!$A$5:$H$104,2,FALSE)="None",VLOOKUP(B37,Counters!$A$5:$H$104,2,FALSE)=0),0,IF(COUNT(D37)&lt;&gt;1,"Check fare",IF(VLOOKUP(B37,Counters!$A$5:$H$104,2,FALSE)="Fixed",VLOOKUP(B37,Counters!$A$5:$H$104,3,FALSE),ROUND(D37*VLOOKUP(B37,Counters!$A$5:$H$104,3,FALSE)/100,2))))),"Set counter"))</x:f>
      </x:c>
      <x:c r="F37" s="32" t="str">
        <x:f>IF(B37="","",IF(COUNT(D37:E37)&lt;&gt;2,"Check settings",IF(OR(D37&lt;0,E37&lt;0,E37&gt;D37,ROUND(D37,2)&lt;&gt;D37),"Check settings",D37-E37)))</x:f>
      </x:c>
      <x:c r="G37" s="12" t="str">
        <x:f>IF(B37="","",_xlfn.IFNA(IF(VLOOKUP(B37,Counters!$A$5:$H$104,4,FALSE)=0,"",VLOOKUP(B37,Counters!$A$5:$H$104,4,FALSE)),"Set counter"))</x:f>
      </x:c>
      <x:c r="H37" s="15"/>
    </x:row>
    <x:row r="38" ht="28" customHeight="1">
      <x:c r="A38" s="8" t="str">
        <x:v>I-2</x:v>
      </x:c>
      <x:c r="B38" s="11"/>
      <x:c r="C38" s="12" t="str">
        <x:f>IF(B38="","",1)</x:f>
      </x:c>
      <x:c r="D38" s="32" t="str">
        <x:f>IF(B38="","",IF('Trip Details'!$B$14="","Choose route",_xlfn.IFNA(IF(VLOOKUP('Trip Details'!$B$14,Routes!$A$5:$I$104,9,FALSE)&lt;&gt;"Ready","Set route",IF(COUNTA(H38)=0,VLOOKUP('Trip Details'!$B$14,Routes!$A$5:$I$104,4,FALSE),IF(COUNT(H38)=1,H38,"Check fare"))),"Set route")))</x:f>
      </x:c>
      <x:c r="E38" s="32" t="str">
        <x:f>IF(B38="","",_xlfn.IFNA(IF(VLOOKUP(B38,Counters!$A$5:$H$104,8,FALSE)&lt;&gt;"Ready","Set counter",IF(OR(VLOOKUP(B38,Counters!$A$5:$H$104,2,FALSE)="None",VLOOKUP(B38,Counters!$A$5:$H$104,2,FALSE)=0),0,IF(COUNT(D38)&lt;&gt;1,"Check fare",IF(VLOOKUP(B38,Counters!$A$5:$H$104,2,FALSE)="Fixed",VLOOKUP(B38,Counters!$A$5:$H$104,3,FALSE),ROUND(D38*VLOOKUP(B38,Counters!$A$5:$H$104,3,FALSE)/100,2))))),"Set counter"))</x:f>
      </x:c>
      <x:c r="F38" s="32" t="str">
        <x:f>IF(B38="","",IF(COUNT(D38:E38)&lt;&gt;2,"Check settings",IF(OR(D38&lt;0,E38&lt;0,E38&gt;D38,ROUND(D38,2)&lt;&gt;D38),"Check settings",D38-E38)))</x:f>
      </x:c>
      <x:c r="G38" s="12" t="str">
        <x:f>IF(B38="","",_xlfn.IFNA(IF(VLOOKUP(B38,Counters!$A$5:$H$104,4,FALSE)=0,"",VLOOKUP(B38,Counters!$A$5:$H$104,4,FALSE)),"Set counter"))</x:f>
      </x:c>
      <x:c r="H38" s="15"/>
    </x:row>
    <x:row r="39" ht="28" customHeight="1">
      <x:c r="A39" s="8" t="str">
        <x:v>I-3</x:v>
      </x:c>
      <x:c r="B39" s="11"/>
      <x:c r="C39" s="12" t="str">
        <x:f>IF(B39="","",1)</x:f>
      </x:c>
      <x:c r="D39" s="32" t="str">
        <x:f>IF(B39="","",IF('Trip Details'!$B$14="","Choose route",_xlfn.IFNA(IF(VLOOKUP('Trip Details'!$B$14,Routes!$A$5:$I$104,9,FALSE)&lt;&gt;"Ready","Set route",IF(COUNTA(H39)=0,VLOOKUP('Trip Details'!$B$14,Routes!$A$5:$I$104,4,FALSE),IF(COUNT(H39)=1,H39,"Check fare"))),"Set route")))</x:f>
      </x:c>
      <x:c r="E39" s="32" t="str">
        <x:f>IF(B39="","",_xlfn.IFNA(IF(VLOOKUP(B39,Counters!$A$5:$H$104,8,FALSE)&lt;&gt;"Ready","Set counter",IF(OR(VLOOKUP(B39,Counters!$A$5:$H$104,2,FALSE)="None",VLOOKUP(B39,Counters!$A$5:$H$104,2,FALSE)=0),0,IF(COUNT(D39)&lt;&gt;1,"Check fare",IF(VLOOKUP(B39,Counters!$A$5:$H$104,2,FALSE)="Fixed",VLOOKUP(B39,Counters!$A$5:$H$104,3,FALSE),ROUND(D39*VLOOKUP(B39,Counters!$A$5:$H$104,3,FALSE)/100,2))))),"Set counter"))</x:f>
      </x:c>
      <x:c r="F39" s="32" t="str">
        <x:f>IF(B39="","",IF(COUNT(D39:E39)&lt;&gt;2,"Check settings",IF(OR(D39&lt;0,E39&lt;0,E39&gt;D39,ROUND(D39,2)&lt;&gt;D39),"Check settings",D39-E39)))</x:f>
      </x:c>
      <x:c r="G39" s="12" t="str">
        <x:f>IF(B39="","",_xlfn.IFNA(IF(VLOOKUP(B39,Counters!$A$5:$H$104,4,FALSE)=0,"",VLOOKUP(B39,Counters!$A$5:$H$104,4,FALSE)),"Set counter"))</x:f>
      </x:c>
      <x:c r="H39" s="15"/>
    </x:row>
    <x:row r="40" ht="28" customHeight="1">
      <x:c r="A40" s="8" t="str">
        <x:v>I-4</x:v>
      </x:c>
      <x:c r="B40" s="11"/>
      <x:c r="C40" s="12" t="str">
        <x:f>IF(B40="","",1)</x:f>
      </x:c>
      <x:c r="D40" s="32" t="str">
        <x:f>IF(B40="","",IF('Trip Details'!$B$14="","Choose route",_xlfn.IFNA(IF(VLOOKUP('Trip Details'!$B$14,Routes!$A$5:$I$104,9,FALSE)&lt;&gt;"Ready","Set route",IF(COUNTA(H40)=0,VLOOKUP('Trip Details'!$B$14,Routes!$A$5:$I$104,4,FALSE),IF(COUNT(H40)=1,H40,"Check fare"))),"Set route")))</x:f>
      </x:c>
      <x:c r="E40" s="32" t="str">
        <x:f>IF(B40="","",_xlfn.IFNA(IF(VLOOKUP(B40,Counters!$A$5:$H$104,8,FALSE)&lt;&gt;"Ready","Set counter",IF(OR(VLOOKUP(B40,Counters!$A$5:$H$104,2,FALSE)="None",VLOOKUP(B40,Counters!$A$5:$H$104,2,FALSE)=0),0,IF(COUNT(D40)&lt;&gt;1,"Check fare",IF(VLOOKUP(B40,Counters!$A$5:$H$104,2,FALSE)="Fixed",VLOOKUP(B40,Counters!$A$5:$H$104,3,FALSE),ROUND(D40*VLOOKUP(B40,Counters!$A$5:$H$104,3,FALSE)/100,2))))),"Set counter"))</x:f>
      </x:c>
      <x:c r="F40" s="32" t="str">
        <x:f>IF(B40="","",IF(COUNT(D40:E40)&lt;&gt;2,"Check settings",IF(OR(D40&lt;0,E40&lt;0,E40&gt;D40,ROUND(D40,2)&lt;&gt;D40),"Check settings",D40-E40)))</x:f>
      </x:c>
      <x:c r="G40" s="12" t="str">
        <x:f>IF(B40="","",_xlfn.IFNA(IF(VLOOKUP(B40,Counters!$A$5:$H$104,4,FALSE)=0,"",VLOOKUP(B40,Counters!$A$5:$H$104,4,FALSE)),"Set counter"))</x:f>
      </x:c>
      <x:c r="H40" s="15"/>
    </x:row>
    <x:row r="41" ht="28" customHeight="1">
      <x:c r="A41" s="33" t="str">
        <x:v>TOTAL</x:v>
      </x:c>
      <x:c r="B41" s="33"/>
      <x:c r="C41" s="33" t="n">
        <x:f>SUM(C5:C40)</x:f>
        <x:v>0</x:v>
      </x:c>
      <x:c r="D41" s="34" t="n">
        <x:f>SUM(D5:D40)</x:f>
        <x:v>0</x:v>
      </x:c>
      <x:c r="E41" s="34" t="n">
        <x:f>SUM(E5:E40)</x:f>
        <x:v>0</x:v>
      </x:c>
      <x:c r="F41" s="34" t="n">
        <x:f>IF(COUNTIFS(F5:F40,"Check settings")&gt;0,"Check settings",SUM(F5:F40))</x:f>
        <x:v>0</x:v>
      </x:c>
      <x:c r="G41" s="33"/>
      <x:c r="H41" s="33"/>
    </x:row>
    <x:row r="42" ht="28" customHeight="1">
      <x:c r="A42" s="8"/>
      <x:c r="B42" s="8"/>
      <x:c r="C42" s="8"/>
      <x:c r="D42" s="8"/>
      <x:c r="E42" s="8"/>
      <x:c r="F42" s="8"/>
      <x:c r="G42" s="8"/>
      <x:c r="H42" s="8"/>
    </x:row>
    <x:row r="43" ht="28" customHeight="1">
      <x:c r="A43" s="8" t="str">
        <x:v>Checker name is shared on Trip Details. Its printed seal/signature area is one merged blank space.</x:v>
      </x:c>
      <x:c r="B43" s="8"/>
      <x:c r="C43" s="8"/>
      <x:c r="D43" s="8"/>
      <x:c r="E43" s="8"/>
      <x:c r="F43" s="8"/>
      <x:c r="G43" s="8"/>
      <x:c r="H43" s="8"/>
    </x:row>
  </x:sheetData>
  <x:conditionalFormatting sqref="F5:F41">
    <x:cfRule type="containsText" dxfId="0" priority="1" operator="containsText" text="Check"/>
  </x:conditionalFormatting>
  <x:dataValidations count="1">
    <x:dataValidation type="list" sqref="B5:B40">
      <x:formula1>INDIRECT("Counters!$A$5:$A$104")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9" hidden="0" customWidth="1"/>
    <x:col min="5" max="5" width="23" hidden="0" customWidth="1"/>
    <x:col min="6" max="6" width="22" hidden="0" customWidth="1"/>
    <x:col min="7" max="7" width="26" hidden="0" customWidth="1"/>
    <x:col min="8" max="8" width="21" hidden="0" customWidth="1"/>
  </x:cols>
  <x:sheetData>
    <x:row r="1">
      <x:c r="A1" s="18" t="str">
        <x:v>Secondary: choose a counter for each occupied seat</x:v>
      </x:c>
      <x:c r="B1" s="8"/>
      <x:c r="C1" s="8"/>
      <x:c r="D1" s="8"/>
      <x:c r="E1" s="8"/>
      <x:c r="F1" s="8"/>
      <x:c r="G1" s="8"/>
      <x:c r="H1" s="8"/>
    </x:row>
    <x:row r="2">
      <x:c r="A2" s="8" t="str">
        <x:v>Counter selection fills passenger, fare, commission, net and signatory. Optional fare override is at the right.</x:v>
      </x:c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 ht="34" customHeight="1">
      <x:c r="A4" s="38" t="str">
        <x:v>Seat No</x:v>
      </x:c>
      <x:c r="B4" s="38" t="str">
        <x:v>Counter</x:v>
      </x:c>
      <x:c r="C4" s="38" t="str">
        <x:v>Passengers</x:v>
      </x:c>
      <x:c r="D4" s="38" t="str">
        <x:v>Fare BDT</x:v>
      </x:c>
      <x:c r="E4" s="38" t="str">
        <x:v>Commission BDT</x:v>
      </x:c>
      <x:c r="F4" s="38" t="str">
        <x:v>Net BDT</x:v>
      </x:c>
      <x:c r="G4" s="38" t="str">
        <x:v>Signature</x:v>
      </x:c>
      <x:c r="H4" s="38" t="str">
        <x:v>Fare Override</x:v>
      </x:c>
    </x:row>
    <x:row r="5" ht="28" customHeight="1">
      <x:c r="A5" s="8" t="str">
        <x:v>A-1</x:v>
      </x:c>
      <x:c r="B5" s="11"/>
      <x:c r="C5" s="12" t="str">
        <x:f>IF(B5="","",1)</x:f>
      </x:c>
      <x:c r="D5" s="32" t="str">
        <x:f>IF(B5="","",IF('Trip Details'!$B$14="","Choose route",_xlfn.IFNA(IF(VLOOKUP('Trip Details'!$B$14,Routes!$A$5:$I$104,9,FALSE)&lt;&gt;"Ready","Set route",IF(COUNTA(H5)=0,VLOOKUP('Trip Details'!$B$14,Routes!$A$5:$I$104,4,FALSE),IF(COUNT(H5)=1,H5,"Check fare"))),"Set route")))</x:f>
      </x:c>
      <x:c r="E5" s="32" t="str">
        <x:f>IF(B5="","",_xlfn.IFNA(IF(VLOOKUP(B5,Counters!$A$5:$H$104,8,FALSE)&lt;&gt;"Ready","Set counter",IF(OR(VLOOKUP(B5,Counters!$A$5:$H$104,2,FALSE)="None",VLOOKUP(B5,Counters!$A$5:$H$104,2,FALSE)=0),0,IF(COUNT(D5)&lt;&gt;1,"Check fare",IF(VLOOKUP(B5,Counters!$A$5:$H$104,2,FALSE)="Fixed",VLOOKUP(B5,Counters!$A$5:$H$104,3,FALSE),ROUND(D5*VLOOKUP(B5,Counters!$A$5:$H$104,3,FALSE)/100,2))))),"Set counter"))</x:f>
      </x:c>
      <x:c r="F5" s="32" t="str">
        <x:f>IF(B5="","",IF(COUNT(D5:E5)&lt;&gt;2,"Check settings",IF(OR(D5&lt;0,E5&lt;0,E5&gt;D5,ROUND(D5,2)&lt;&gt;D5),"Check settings",D5-E5)))</x:f>
      </x:c>
      <x:c r="G5" s="12" t="str">
        <x:f>IF(B5="","",_xlfn.IFNA(IF(VLOOKUP(B5,Counters!$A$5:$H$104,4,FALSE)=0,"",VLOOKUP(B5,Counters!$A$5:$H$104,4,FALSE)),"Set counter"))</x:f>
      </x:c>
      <x:c r="H5" s="15"/>
    </x:row>
    <x:row r="6" ht="28" customHeight="1">
      <x:c r="A6" s="8" t="str">
        <x:v>A-2</x:v>
      </x:c>
      <x:c r="B6" s="11"/>
      <x:c r="C6" s="12" t="str">
        <x:f>IF(B6="","",1)</x:f>
      </x:c>
      <x:c r="D6" s="32" t="str">
        <x:f>IF(B6="","",IF('Trip Details'!$B$14="","Choose route",_xlfn.IFNA(IF(VLOOKUP('Trip Details'!$B$14,Routes!$A$5:$I$104,9,FALSE)&lt;&gt;"Ready","Set route",IF(COUNTA(H6)=0,VLOOKUP('Trip Details'!$B$14,Routes!$A$5:$I$104,4,FALSE),IF(COUNT(H6)=1,H6,"Check fare"))),"Set route")))</x:f>
      </x:c>
      <x:c r="E6" s="32" t="str">
        <x:f>IF(B6="","",_xlfn.IFNA(IF(VLOOKUP(B6,Counters!$A$5:$H$104,8,FALSE)&lt;&gt;"Ready","Set counter",IF(OR(VLOOKUP(B6,Counters!$A$5:$H$104,2,FALSE)="None",VLOOKUP(B6,Counters!$A$5:$H$104,2,FALSE)=0),0,IF(COUNT(D6)&lt;&gt;1,"Check fare",IF(VLOOKUP(B6,Counters!$A$5:$H$104,2,FALSE)="Fixed",VLOOKUP(B6,Counters!$A$5:$H$104,3,FALSE),ROUND(D6*VLOOKUP(B6,Counters!$A$5:$H$104,3,FALSE)/100,2))))),"Set counter"))</x:f>
      </x:c>
      <x:c r="F6" s="32" t="str">
        <x:f>IF(B6="","",IF(COUNT(D6:E6)&lt;&gt;2,"Check settings",IF(OR(D6&lt;0,E6&lt;0,E6&gt;D6,ROUND(D6,2)&lt;&gt;D6),"Check settings",D6-E6)))</x:f>
      </x:c>
      <x:c r="G6" s="12" t="str">
        <x:f>IF(B6="","",_xlfn.IFNA(IF(VLOOKUP(B6,Counters!$A$5:$H$104,4,FALSE)=0,"",VLOOKUP(B6,Counters!$A$5:$H$104,4,FALSE)),"Set counter"))</x:f>
      </x:c>
      <x:c r="H6" s="15"/>
    </x:row>
    <x:row r="7" ht="28" customHeight="1">
      <x:c r="A7" s="8" t="str">
        <x:v>A-3</x:v>
      </x:c>
      <x:c r="B7" s="11"/>
      <x:c r="C7" s="12" t="str">
        <x:f>IF(B7="","",1)</x:f>
      </x:c>
      <x:c r="D7" s="32" t="str">
        <x:f>IF(B7="","",IF('Trip Details'!$B$14="","Choose route",_xlfn.IFNA(IF(VLOOKUP('Trip Details'!$B$14,Routes!$A$5:$I$104,9,FALSE)&lt;&gt;"Ready","Set route",IF(COUNTA(H7)=0,VLOOKUP('Trip Details'!$B$14,Routes!$A$5:$I$104,4,FALSE),IF(COUNT(H7)=1,H7,"Check fare"))),"Set route")))</x:f>
      </x:c>
      <x:c r="E7" s="32" t="str">
        <x:f>IF(B7="","",_xlfn.IFNA(IF(VLOOKUP(B7,Counters!$A$5:$H$104,8,FALSE)&lt;&gt;"Ready","Set counter",IF(OR(VLOOKUP(B7,Counters!$A$5:$H$104,2,FALSE)="None",VLOOKUP(B7,Counters!$A$5:$H$104,2,FALSE)=0),0,IF(COUNT(D7)&lt;&gt;1,"Check fare",IF(VLOOKUP(B7,Counters!$A$5:$H$104,2,FALSE)="Fixed",VLOOKUP(B7,Counters!$A$5:$H$104,3,FALSE),ROUND(D7*VLOOKUP(B7,Counters!$A$5:$H$104,3,FALSE)/100,2))))),"Set counter"))</x:f>
      </x:c>
      <x:c r="F7" s="32" t="str">
        <x:f>IF(B7="","",IF(COUNT(D7:E7)&lt;&gt;2,"Check settings",IF(OR(D7&lt;0,E7&lt;0,E7&gt;D7,ROUND(D7,2)&lt;&gt;D7),"Check settings",D7-E7)))</x:f>
      </x:c>
      <x:c r="G7" s="12" t="str">
        <x:f>IF(B7="","",_xlfn.IFNA(IF(VLOOKUP(B7,Counters!$A$5:$H$104,4,FALSE)=0,"",VLOOKUP(B7,Counters!$A$5:$H$104,4,FALSE)),"Set counter"))</x:f>
      </x:c>
      <x:c r="H7" s="15"/>
    </x:row>
    <x:row r="8" ht="28" customHeight="1">
      <x:c r="A8" s="8" t="str">
        <x:v>A-4</x:v>
      </x:c>
      <x:c r="B8" s="11"/>
      <x:c r="C8" s="12" t="str">
        <x:f>IF(B8="","",1)</x:f>
      </x:c>
      <x:c r="D8" s="32" t="str">
        <x:f>IF(B8="","",IF('Trip Details'!$B$14="","Choose route",_xlfn.IFNA(IF(VLOOKUP('Trip Details'!$B$14,Routes!$A$5:$I$104,9,FALSE)&lt;&gt;"Ready","Set route",IF(COUNTA(H8)=0,VLOOKUP('Trip Details'!$B$14,Routes!$A$5:$I$104,4,FALSE),IF(COUNT(H8)=1,H8,"Check fare"))),"Set route")))</x:f>
      </x:c>
      <x:c r="E8" s="32" t="str">
        <x:f>IF(B8="","",_xlfn.IFNA(IF(VLOOKUP(B8,Counters!$A$5:$H$104,8,FALSE)&lt;&gt;"Ready","Set counter",IF(OR(VLOOKUP(B8,Counters!$A$5:$H$104,2,FALSE)="None",VLOOKUP(B8,Counters!$A$5:$H$104,2,FALSE)=0),0,IF(COUNT(D8)&lt;&gt;1,"Check fare",IF(VLOOKUP(B8,Counters!$A$5:$H$104,2,FALSE)="Fixed",VLOOKUP(B8,Counters!$A$5:$H$104,3,FALSE),ROUND(D8*VLOOKUP(B8,Counters!$A$5:$H$104,3,FALSE)/100,2))))),"Set counter"))</x:f>
      </x:c>
      <x:c r="F8" s="32" t="str">
        <x:f>IF(B8="","",IF(COUNT(D8:E8)&lt;&gt;2,"Check settings",IF(OR(D8&lt;0,E8&lt;0,E8&gt;D8,ROUND(D8,2)&lt;&gt;D8),"Check settings",D8-E8)))</x:f>
      </x:c>
      <x:c r="G8" s="12" t="str">
        <x:f>IF(B8="","",_xlfn.IFNA(IF(VLOOKUP(B8,Counters!$A$5:$H$104,4,FALSE)=0,"",VLOOKUP(B8,Counters!$A$5:$H$104,4,FALSE)),"Set counter"))</x:f>
      </x:c>
      <x:c r="H8" s="15"/>
    </x:row>
    <x:row r="9" ht="28" customHeight="1">
      <x:c r="A9" s="8" t="str">
        <x:v>B-1</x:v>
      </x:c>
      <x:c r="B9" s="11"/>
      <x:c r="C9" s="12" t="str">
        <x:f>IF(B9="","",1)</x:f>
      </x:c>
      <x:c r="D9" s="32" t="str">
        <x:f>IF(B9="","",IF('Trip Details'!$B$14="","Choose route",_xlfn.IFNA(IF(VLOOKUP('Trip Details'!$B$14,Routes!$A$5:$I$104,9,FALSE)&lt;&gt;"Ready","Set route",IF(COUNTA(H9)=0,VLOOKUP('Trip Details'!$B$14,Routes!$A$5:$I$104,4,FALSE),IF(COUNT(H9)=1,H9,"Check fare"))),"Set route")))</x:f>
      </x:c>
      <x:c r="E9" s="32" t="str">
        <x:f>IF(B9="","",_xlfn.IFNA(IF(VLOOKUP(B9,Counters!$A$5:$H$104,8,FALSE)&lt;&gt;"Ready","Set counter",IF(OR(VLOOKUP(B9,Counters!$A$5:$H$104,2,FALSE)="None",VLOOKUP(B9,Counters!$A$5:$H$104,2,FALSE)=0),0,IF(COUNT(D9)&lt;&gt;1,"Check fare",IF(VLOOKUP(B9,Counters!$A$5:$H$104,2,FALSE)="Fixed",VLOOKUP(B9,Counters!$A$5:$H$104,3,FALSE),ROUND(D9*VLOOKUP(B9,Counters!$A$5:$H$104,3,FALSE)/100,2))))),"Set counter"))</x:f>
      </x:c>
      <x:c r="F9" s="32" t="str">
        <x:f>IF(B9="","",IF(COUNT(D9:E9)&lt;&gt;2,"Check settings",IF(OR(D9&lt;0,E9&lt;0,E9&gt;D9,ROUND(D9,2)&lt;&gt;D9),"Check settings",D9-E9)))</x:f>
      </x:c>
      <x:c r="G9" s="12" t="str">
        <x:f>IF(B9="","",_xlfn.IFNA(IF(VLOOKUP(B9,Counters!$A$5:$H$104,4,FALSE)=0,"",VLOOKUP(B9,Counters!$A$5:$H$104,4,FALSE)),"Set counter"))</x:f>
      </x:c>
      <x:c r="H9" s="15"/>
    </x:row>
    <x:row r="10" ht="28" customHeight="1">
      <x:c r="A10" s="8" t="str">
        <x:v>B-2</x:v>
      </x:c>
      <x:c r="B10" s="11"/>
      <x:c r="C10" s="12" t="str">
        <x:f>IF(B10="","",1)</x:f>
      </x:c>
      <x:c r="D10" s="32" t="str">
        <x:f>IF(B10="","",IF('Trip Details'!$B$14="","Choose route",_xlfn.IFNA(IF(VLOOKUP('Trip Details'!$B$14,Routes!$A$5:$I$104,9,FALSE)&lt;&gt;"Ready","Set route",IF(COUNTA(H10)=0,VLOOKUP('Trip Details'!$B$14,Routes!$A$5:$I$104,4,FALSE),IF(COUNT(H10)=1,H10,"Check fare"))),"Set route")))</x:f>
      </x:c>
      <x:c r="E10" s="32" t="str">
        <x:f>IF(B10="","",_xlfn.IFNA(IF(VLOOKUP(B10,Counters!$A$5:$H$104,8,FALSE)&lt;&gt;"Ready","Set counter",IF(OR(VLOOKUP(B10,Counters!$A$5:$H$104,2,FALSE)="None",VLOOKUP(B10,Counters!$A$5:$H$104,2,FALSE)=0),0,IF(COUNT(D10)&lt;&gt;1,"Check fare",IF(VLOOKUP(B10,Counters!$A$5:$H$104,2,FALSE)="Fixed",VLOOKUP(B10,Counters!$A$5:$H$104,3,FALSE),ROUND(D10*VLOOKUP(B10,Counters!$A$5:$H$104,3,FALSE)/100,2))))),"Set counter"))</x:f>
      </x:c>
      <x:c r="F10" s="32" t="str">
        <x:f>IF(B10="","",IF(COUNT(D10:E10)&lt;&gt;2,"Check settings",IF(OR(D10&lt;0,E10&lt;0,E10&gt;D10,ROUND(D10,2)&lt;&gt;D10),"Check settings",D10-E10)))</x:f>
      </x:c>
      <x:c r="G10" s="12" t="str">
        <x:f>IF(B10="","",_xlfn.IFNA(IF(VLOOKUP(B10,Counters!$A$5:$H$104,4,FALSE)=0,"",VLOOKUP(B10,Counters!$A$5:$H$104,4,FALSE)),"Set counter"))</x:f>
      </x:c>
      <x:c r="H10" s="15"/>
    </x:row>
    <x:row r="11" ht="28" customHeight="1">
      <x:c r="A11" s="8" t="str">
        <x:v>B-3</x:v>
      </x:c>
      <x:c r="B11" s="11"/>
      <x:c r="C11" s="12" t="str">
        <x:f>IF(B11="","",1)</x:f>
      </x:c>
      <x:c r="D11" s="32" t="str">
        <x:f>IF(B11="","",IF('Trip Details'!$B$14="","Choose route",_xlfn.IFNA(IF(VLOOKUP('Trip Details'!$B$14,Routes!$A$5:$I$104,9,FALSE)&lt;&gt;"Ready","Set route",IF(COUNTA(H11)=0,VLOOKUP('Trip Details'!$B$14,Routes!$A$5:$I$104,4,FALSE),IF(COUNT(H11)=1,H11,"Check fare"))),"Set route")))</x:f>
      </x:c>
      <x:c r="E11" s="32" t="str">
        <x:f>IF(B11="","",_xlfn.IFNA(IF(VLOOKUP(B11,Counters!$A$5:$H$104,8,FALSE)&lt;&gt;"Ready","Set counter",IF(OR(VLOOKUP(B11,Counters!$A$5:$H$104,2,FALSE)="None",VLOOKUP(B11,Counters!$A$5:$H$104,2,FALSE)=0),0,IF(COUNT(D11)&lt;&gt;1,"Check fare",IF(VLOOKUP(B11,Counters!$A$5:$H$104,2,FALSE)="Fixed",VLOOKUP(B11,Counters!$A$5:$H$104,3,FALSE),ROUND(D11*VLOOKUP(B11,Counters!$A$5:$H$104,3,FALSE)/100,2))))),"Set counter"))</x:f>
      </x:c>
      <x:c r="F11" s="32" t="str">
        <x:f>IF(B11="","",IF(COUNT(D11:E11)&lt;&gt;2,"Check settings",IF(OR(D11&lt;0,E11&lt;0,E11&gt;D11,ROUND(D11,2)&lt;&gt;D11),"Check settings",D11-E11)))</x:f>
      </x:c>
      <x:c r="G11" s="12" t="str">
        <x:f>IF(B11="","",_xlfn.IFNA(IF(VLOOKUP(B11,Counters!$A$5:$H$104,4,FALSE)=0,"",VLOOKUP(B11,Counters!$A$5:$H$104,4,FALSE)),"Set counter"))</x:f>
      </x:c>
      <x:c r="H11" s="15"/>
    </x:row>
    <x:row r="12" ht="28" customHeight="1">
      <x:c r="A12" s="8" t="str">
        <x:v>B-4</x:v>
      </x:c>
      <x:c r="B12" s="11"/>
      <x:c r="C12" s="12" t="str">
        <x:f>IF(B12="","",1)</x:f>
      </x:c>
      <x:c r="D12" s="32" t="str">
        <x:f>IF(B12="","",IF('Trip Details'!$B$14="","Choose route",_xlfn.IFNA(IF(VLOOKUP('Trip Details'!$B$14,Routes!$A$5:$I$104,9,FALSE)&lt;&gt;"Ready","Set route",IF(COUNTA(H12)=0,VLOOKUP('Trip Details'!$B$14,Routes!$A$5:$I$104,4,FALSE),IF(COUNT(H12)=1,H12,"Check fare"))),"Set route")))</x:f>
      </x:c>
      <x:c r="E12" s="32" t="str">
        <x:f>IF(B12="","",_xlfn.IFNA(IF(VLOOKUP(B12,Counters!$A$5:$H$104,8,FALSE)&lt;&gt;"Ready","Set counter",IF(OR(VLOOKUP(B12,Counters!$A$5:$H$104,2,FALSE)="None",VLOOKUP(B12,Counters!$A$5:$H$104,2,FALSE)=0),0,IF(COUNT(D12)&lt;&gt;1,"Check fare",IF(VLOOKUP(B12,Counters!$A$5:$H$104,2,FALSE)="Fixed",VLOOKUP(B12,Counters!$A$5:$H$104,3,FALSE),ROUND(D12*VLOOKUP(B12,Counters!$A$5:$H$104,3,FALSE)/100,2))))),"Set counter"))</x:f>
      </x:c>
      <x:c r="F12" s="32" t="str">
        <x:f>IF(B12="","",IF(COUNT(D12:E12)&lt;&gt;2,"Check settings",IF(OR(D12&lt;0,E12&lt;0,E12&gt;D12,ROUND(D12,2)&lt;&gt;D12),"Check settings",D12-E12)))</x:f>
      </x:c>
      <x:c r="G12" s="12" t="str">
        <x:f>IF(B12="","",_xlfn.IFNA(IF(VLOOKUP(B12,Counters!$A$5:$H$104,4,FALSE)=0,"",VLOOKUP(B12,Counters!$A$5:$H$104,4,FALSE)),"Set counter"))</x:f>
      </x:c>
      <x:c r="H12" s="15"/>
    </x:row>
    <x:row r="13" ht="28" customHeight="1">
      <x:c r="A13" s="8" t="str">
        <x:v>C-1</x:v>
      </x:c>
      <x:c r="B13" s="11"/>
      <x:c r="C13" s="12" t="str">
        <x:f>IF(B13="","",1)</x:f>
      </x:c>
      <x:c r="D13" s="32" t="str">
        <x:f>IF(B13="","",IF('Trip Details'!$B$14="","Choose route",_xlfn.IFNA(IF(VLOOKUP('Trip Details'!$B$14,Routes!$A$5:$I$104,9,FALSE)&lt;&gt;"Ready","Set route",IF(COUNTA(H13)=0,VLOOKUP('Trip Details'!$B$14,Routes!$A$5:$I$104,4,FALSE),IF(COUNT(H13)=1,H13,"Check fare"))),"Set route")))</x:f>
      </x:c>
      <x:c r="E13" s="32" t="str">
        <x:f>IF(B13="","",_xlfn.IFNA(IF(VLOOKUP(B13,Counters!$A$5:$H$104,8,FALSE)&lt;&gt;"Ready","Set counter",IF(OR(VLOOKUP(B13,Counters!$A$5:$H$104,2,FALSE)="None",VLOOKUP(B13,Counters!$A$5:$H$104,2,FALSE)=0),0,IF(COUNT(D13)&lt;&gt;1,"Check fare",IF(VLOOKUP(B13,Counters!$A$5:$H$104,2,FALSE)="Fixed",VLOOKUP(B13,Counters!$A$5:$H$104,3,FALSE),ROUND(D13*VLOOKUP(B13,Counters!$A$5:$H$104,3,FALSE)/100,2))))),"Set counter"))</x:f>
      </x:c>
      <x:c r="F13" s="32" t="str">
        <x:f>IF(B13="","",IF(COUNT(D13:E13)&lt;&gt;2,"Check settings",IF(OR(D13&lt;0,E13&lt;0,E13&gt;D13,ROUND(D13,2)&lt;&gt;D13),"Check settings",D13-E13)))</x:f>
      </x:c>
      <x:c r="G13" s="12" t="str">
        <x:f>IF(B13="","",_xlfn.IFNA(IF(VLOOKUP(B13,Counters!$A$5:$H$104,4,FALSE)=0,"",VLOOKUP(B13,Counters!$A$5:$H$104,4,FALSE)),"Set counter"))</x:f>
      </x:c>
      <x:c r="H13" s="15"/>
    </x:row>
    <x:row r="14" ht="28" customHeight="1">
      <x:c r="A14" s="8" t="str">
        <x:v>C-2</x:v>
      </x:c>
      <x:c r="B14" s="11"/>
      <x:c r="C14" s="12" t="str">
        <x:f>IF(B14="","",1)</x:f>
      </x:c>
      <x:c r="D14" s="32" t="str">
        <x:f>IF(B14="","",IF('Trip Details'!$B$14="","Choose route",_xlfn.IFNA(IF(VLOOKUP('Trip Details'!$B$14,Routes!$A$5:$I$104,9,FALSE)&lt;&gt;"Ready","Set route",IF(COUNTA(H14)=0,VLOOKUP('Trip Details'!$B$14,Routes!$A$5:$I$104,4,FALSE),IF(COUNT(H14)=1,H14,"Check fare"))),"Set route")))</x:f>
      </x:c>
      <x:c r="E14" s="32" t="str">
        <x:f>IF(B14="","",_xlfn.IFNA(IF(VLOOKUP(B14,Counters!$A$5:$H$104,8,FALSE)&lt;&gt;"Ready","Set counter",IF(OR(VLOOKUP(B14,Counters!$A$5:$H$104,2,FALSE)="None",VLOOKUP(B14,Counters!$A$5:$H$104,2,FALSE)=0),0,IF(COUNT(D14)&lt;&gt;1,"Check fare",IF(VLOOKUP(B14,Counters!$A$5:$H$104,2,FALSE)="Fixed",VLOOKUP(B14,Counters!$A$5:$H$104,3,FALSE),ROUND(D14*VLOOKUP(B14,Counters!$A$5:$H$104,3,FALSE)/100,2))))),"Set counter"))</x:f>
      </x:c>
      <x:c r="F14" s="32" t="str">
        <x:f>IF(B14="","",IF(COUNT(D14:E14)&lt;&gt;2,"Check settings",IF(OR(D14&lt;0,E14&lt;0,E14&gt;D14,ROUND(D14,2)&lt;&gt;D14),"Check settings",D14-E14)))</x:f>
      </x:c>
      <x:c r="G14" s="12" t="str">
        <x:f>IF(B14="","",_xlfn.IFNA(IF(VLOOKUP(B14,Counters!$A$5:$H$104,4,FALSE)=0,"",VLOOKUP(B14,Counters!$A$5:$H$104,4,FALSE)),"Set counter"))</x:f>
      </x:c>
      <x:c r="H14" s="15"/>
    </x:row>
    <x:row r="15" ht="28" customHeight="1">
      <x:c r="A15" s="8" t="str">
        <x:v>C-3</x:v>
      </x:c>
      <x:c r="B15" s="11"/>
      <x:c r="C15" s="12" t="str">
        <x:f>IF(B15="","",1)</x:f>
      </x:c>
      <x:c r="D15" s="32" t="str">
        <x:f>IF(B15="","",IF('Trip Details'!$B$14="","Choose route",_xlfn.IFNA(IF(VLOOKUP('Trip Details'!$B$14,Routes!$A$5:$I$104,9,FALSE)&lt;&gt;"Ready","Set route",IF(COUNTA(H15)=0,VLOOKUP('Trip Details'!$B$14,Routes!$A$5:$I$104,4,FALSE),IF(COUNT(H15)=1,H15,"Check fare"))),"Set route")))</x:f>
      </x:c>
      <x:c r="E15" s="32" t="str">
        <x:f>IF(B15="","",_xlfn.IFNA(IF(VLOOKUP(B15,Counters!$A$5:$H$104,8,FALSE)&lt;&gt;"Ready","Set counter",IF(OR(VLOOKUP(B15,Counters!$A$5:$H$104,2,FALSE)="None",VLOOKUP(B15,Counters!$A$5:$H$104,2,FALSE)=0),0,IF(COUNT(D15)&lt;&gt;1,"Check fare",IF(VLOOKUP(B15,Counters!$A$5:$H$104,2,FALSE)="Fixed",VLOOKUP(B15,Counters!$A$5:$H$104,3,FALSE),ROUND(D15*VLOOKUP(B15,Counters!$A$5:$H$104,3,FALSE)/100,2))))),"Set counter"))</x:f>
      </x:c>
      <x:c r="F15" s="32" t="str">
        <x:f>IF(B15="","",IF(COUNT(D15:E15)&lt;&gt;2,"Check settings",IF(OR(D15&lt;0,E15&lt;0,E15&gt;D15,ROUND(D15,2)&lt;&gt;D15),"Check settings",D15-E15)))</x:f>
      </x:c>
      <x:c r="G15" s="12" t="str">
        <x:f>IF(B15="","",_xlfn.IFNA(IF(VLOOKUP(B15,Counters!$A$5:$H$104,4,FALSE)=0,"",VLOOKUP(B15,Counters!$A$5:$H$104,4,FALSE)),"Set counter"))</x:f>
      </x:c>
      <x:c r="H15" s="15"/>
    </x:row>
    <x:row r="16" ht="28" customHeight="1">
      <x:c r="A16" s="8" t="str">
        <x:v>C-4</x:v>
      </x:c>
      <x:c r="B16" s="11"/>
      <x:c r="C16" s="12" t="str">
        <x:f>IF(B16="","",1)</x:f>
      </x:c>
      <x:c r="D16" s="32" t="str">
        <x:f>IF(B16="","",IF('Trip Details'!$B$14="","Choose route",_xlfn.IFNA(IF(VLOOKUP('Trip Details'!$B$14,Routes!$A$5:$I$104,9,FALSE)&lt;&gt;"Ready","Set route",IF(COUNTA(H16)=0,VLOOKUP('Trip Details'!$B$14,Routes!$A$5:$I$104,4,FALSE),IF(COUNT(H16)=1,H16,"Check fare"))),"Set route")))</x:f>
      </x:c>
      <x:c r="E16" s="32" t="str">
        <x:f>IF(B16="","",_xlfn.IFNA(IF(VLOOKUP(B16,Counters!$A$5:$H$104,8,FALSE)&lt;&gt;"Ready","Set counter",IF(OR(VLOOKUP(B16,Counters!$A$5:$H$104,2,FALSE)="None",VLOOKUP(B16,Counters!$A$5:$H$104,2,FALSE)=0),0,IF(COUNT(D16)&lt;&gt;1,"Check fare",IF(VLOOKUP(B16,Counters!$A$5:$H$104,2,FALSE)="Fixed",VLOOKUP(B16,Counters!$A$5:$H$104,3,FALSE),ROUND(D16*VLOOKUP(B16,Counters!$A$5:$H$104,3,FALSE)/100,2))))),"Set counter"))</x:f>
      </x:c>
      <x:c r="F16" s="32" t="str">
        <x:f>IF(B16="","",IF(COUNT(D16:E16)&lt;&gt;2,"Check settings",IF(OR(D16&lt;0,E16&lt;0,E16&gt;D16,ROUND(D16,2)&lt;&gt;D16),"Check settings",D16-E16)))</x:f>
      </x:c>
      <x:c r="G16" s="12" t="str">
        <x:f>IF(B16="","",_xlfn.IFNA(IF(VLOOKUP(B16,Counters!$A$5:$H$104,4,FALSE)=0,"",VLOOKUP(B16,Counters!$A$5:$H$104,4,FALSE)),"Set counter"))</x:f>
      </x:c>
      <x:c r="H16" s="15"/>
    </x:row>
    <x:row r="17" ht="28" customHeight="1">
      <x:c r="A17" s="8" t="str">
        <x:v>D-1</x:v>
      </x:c>
      <x:c r="B17" s="11"/>
      <x:c r="C17" s="12" t="str">
        <x:f>IF(B17="","",1)</x:f>
      </x:c>
      <x:c r="D17" s="32" t="str">
        <x:f>IF(B17="","",IF('Trip Details'!$B$14="","Choose route",_xlfn.IFNA(IF(VLOOKUP('Trip Details'!$B$14,Routes!$A$5:$I$104,9,FALSE)&lt;&gt;"Ready","Set route",IF(COUNTA(H17)=0,VLOOKUP('Trip Details'!$B$14,Routes!$A$5:$I$104,4,FALSE),IF(COUNT(H17)=1,H17,"Check fare"))),"Set route")))</x:f>
      </x:c>
      <x:c r="E17" s="32" t="str">
        <x:f>IF(B17="","",_xlfn.IFNA(IF(VLOOKUP(B17,Counters!$A$5:$H$104,8,FALSE)&lt;&gt;"Ready","Set counter",IF(OR(VLOOKUP(B17,Counters!$A$5:$H$104,2,FALSE)="None",VLOOKUP(B17,Counters!$A$5:$H$104,2,FALSE)=0),0,IF(COUNT(D17)&lt;&gt;1,"Check fare",IF(VLOOKUP(B17,Counters!$A$5:$H$104,2,FALSE)="Fixed",VLOOKUP(B17,Counters!$A$5:$H$104,3,FALSE),ROUND(D17*VLOOKUP(B17,Counters!$A$5:$H$104,3,FALSE)/100,2))))),"Set counter"))</x:f>
      </x:c>
      <x:c r="F17" s="32" t="str">
        <x:f>IF(B17="","",IF(COUNT(D17:E17)&lt;&gt;2,"Check settings",IF(OR(D17&lt;0,E17&lt;0,E17&gt;D17,ROUND(D17,2)&lt;&gt;D17),"Check settings",D17-E17)))</x:f>
      </x:c>
      <x:c r="G17" s="12" t="str">
        <x:f>IF(B17="","",_xlfn.IFNA(IF(VLOOKUP(B17,Counters!$A$5:$H$104,4,FALSE)=0,"",VLOOKUP(B17,Counters!$A$5:$H$104,4,FALSE)),"Set counter"))</x:f>
      </x:c>
      <x:c r="H17" s="15"/>
    </x:row>
    <x:row r="18" ht="28" customHeight="1">
      <x:c r="A18" s="8" t="str">
        <x:v>D-2</x:v>
      </x:c>
      <x:c r="B18" s="11"/>
      <x:c r="C18" s="12" t="str">
        <x:f>IF(B18="","",1)</x:f>
      </x:c>
      <x:c r="D18" s="32" t="str">
        <x:f>IF(B18="","",IF('Trip Details'!$B$14="","Choose route",_xlfn.IFNA(IF(VLOOKUP('Trip Details'!$B$14,Routes!$A$5:$I$104,9,FALSE)&lt;&gt;"Ready","Set route",IF(COUNTA(H18)=0,VLOOKUP('Trip Details'!$B$14,Routes!$A$5:$I$104,4,FALSE),IF(COUNT(H18)=1,H18,"Check fare"))),"Set route")))</x:f>
      </x:c>
      <x:c r="E18" s="32" t="str">
        <x:f>IF(B18="","",_xlfn.IFNA(IF(VLOOKUP(B18,Counters!$A$5:$H$104,8,FALSE)&lt;&gt;"Ready","Set counter",IF(OR(VLOOKUP(B18,Counters!$A$5:$H$104,2,FALSE)="None",VLOOKUP(B18,Counters!$A$5:$H$104,2,FALSE)=0),0,IF(COUNT(D18)&lt;&gt;1,"Check fare",IF(VLOOKUP(B18,Counters!$A$5:$H$104,2,FALSE)="Fixed",VLOOKUP(B18,Counters!$A$5:$H$104,3,FALSE),ROUND(D18*VLOOKUP(B18,Counters!$A$5:$H$104,3,FALSE)/100,2))))),"Set counter"))</x:f>
      </x:c>
      <x:c r="F18" s="32" t="str">
        <x:f>IF(B18="","",IF(COUNT(D18:E18)&lt;&gt;2,"Check settings",IF(OR(D18&lt;0,E18&lt;0,E18&gt;D18,ROUND(D18,2)&lt;&gt;D18),"Check settings",D18-E18)))</x:f>
      </x:c>
      <x:c r="G18" s="12" t="str">
        <x:f>IF(B18="","",_xlfn.IFNA(IF(VLOOKUP(B18,Counters!$A$5:$H$104,4,FALSE)=0,"",VLOOKUP(B18,Counters!$A$5:$H$104,4,FALSE)),"Set counter"))</x:f>
      </x:c>
      <x:c r="H18" s="15"/>
    </x:row>
    <x:row r="19" ht="28" customHeight="1">
      <x:c r="A19" s="8" t="str">
        <x:v>D-3</x:v>
      </x:c>
      <x:c r="B19" s="11"/>
      <x:c r="C19" s="12" t="str">
        <x:f>IF(B19="","",1)</x:f>
      </x:c>
      <x:c r="D19" s="32" t="str">
        <x:f>IF(B19="","",IF('Trip Details'!$B$14="","Choose route",_xlfn.IFNA(IF(VLOOKUP('Trip Details'!$B$14,Routes!$A$5:$I$104,9,FALSE)&lt;&gt;"Ready","Set route",IF(COUNTA(H19)=0,VLOOKUP('Trip Details'!$B$14,Routes!$A$5:$I$104,4,FALSE),IF(COUNT(H19)=1,H19,"Check fare"))),"Set route")))</x:f>
      </x:c>
      <x:c r="E19" s="32" t="str">
        <x:f>IF(B19="","",_xlfn.IFNA(IF(VLOOKUP(B19,Counters!$A$5:$H$104,8,FALSE)&lt;&gt;"Ready","Set counter",IF(OR(VLOOKUP(B19,Counters!$A$5:$H$104,2,FALSE)="None",VLOOKUP(B19,Counters!$A$5:$H$104,2,FALSE)=0),0,IF(COUNT(D19)&lt;&gt;1,"Check fare",IF(VLOOKUP(B19,Counters!$A$5:$H$104,2,FALSE)="Fixed",VLOOKUP(B19,Counters!$A$5:$H$104,3,FALSE),ROUND(D19*VLOOKUP(B19,Counters!$A$5:$H$104,3,FALSE)/100,2))))),"Set counter"))</x:f>
      </x:c>
      <x:c r="F19" s="32" t="str">
        <x:f>IF(B19="","",IF(COUNT(D19:E19)&lt;&gt;2,"Check settings",IF(OR(D19&lt;0,E19&lt;0,E19&gt;D19,ROUND(D19,2)&lt;&gt;D19),"Check settings",D19-E19)))</x:f>
      </x:c>
      <x:c r="G19" s="12" t="str">
        <x:f>IF(B19="","",_xlfn.IFNA(IF(VLOOKUP(B19,Counters!$A$5:$H$104,4,FALSE)=0,"",VLOOKUP(B19,Counters!$A$5:$H$104,4,FALSE)),"Set counter"))</x:f>
      </x:c>
      <x:c r="H19" s="15"/>
    </x:row>
    <x:row r="20" ht="28" customHeight="1">
      <x:c r="A20" s="8" t="str">
        <x:v>D-4</x:v>
      </x:c>
      <x:c r="B20" s="11"/>
      <x:c r="C20" s="12" t="str">
        <x:f>IF(B20="","",1)</x:f>
      </x:c>
      <x:c r="D20" s="32" t="str">
        <x:f>IF(B20="","",IF('Trip Details'!$B$14="","Choose route",_xlfn.IFNA(IF(VLOOKUP('Trip Details'!$B$14,Routes!$A$5:$I$104,9,FALSE)&lt;&gt;"Ready","Set route",IF(COUNTA(H20)=0,VLOOKUP('Trip Details'!$B$14,Routes!$A$5:$I$104,4,FALSE),IF(COUNT(H20)=1,H20,"Check fare"))),"Set route")))</x:f>
      </x:c>
      <x:c r="E20" s="32" t="str">
        <x:f>IF(B20="","",_xlfn.IFNA(IF(VLOOKUP(B20,Counters!$A$5:$H$104,8,FALSE)&lt;&gt;"Ready","Set counter",IF(OR(VLOOKUP(B20,Counters!$A$5:$H$104,2,FALSE)="None",VLOOKUP(B20,Counters!$A$5:$H$104,2,FALSE)=0),0,IF(COUNT(D20)&lt;&gt;1,"Check fare",IF(VLOOKUP(B20,Counters!$A$5:$H$104,2,FALSE)="Fixed",VLOOKUP(B20,Counters!$A$5:$H$104,3,FALSE),ROUND(D20*VLOOKUP(B20,Counters!$A$5:$H$104,3,FALSE)/100,2))))),"Set counter"))</x:f>
      </x:c>
      <x:c r="F20" s="32" t="str">
        <x:f>IF(B20="","",IF(COUNT(D20:E20)&lt;&gt;2,"Check settings",IF(OR(D20&lt;0,E20&lt;0,E20&gt;D20,ROUND(D20,2)&lt;&gt;D20),"Check settings",D20-E20)))</x:f>
      </x:c>
      <x:c r="G20" s="12" t="str">
        <x:f>IF(B20="","",_xlfn.IFNA(IF(VLOOKUP(B20,Counters!$A$5:$H$104,4,FALSE)=0,"",VLOOKUP(B20,Counters!$A$5:$H$104,4,FALSE)),"Set counter"))</x:f>
      </x:c>
      <x:c r="H20" s="15"/>
    </x:row>
    <x:row r="21" ht="28" customHeight="1">
      <x:c r="A21" s="8" t="str">
        <x:v>E-1</x:v>
      </x:c>
      <x:c r="B21" s="11"/>
      <x:c r="C21" s="12" t="str">
        <x:f>IF(B21="","",1)</x:f>
      </x:c>
      <x:c r="D21" s="32" t="str">
        <x:f>IF(B21="","",IF('Trip Details'!$B$14="","Choose route",_xlfn.IFNA(IF(VLOOKUP('Trip Details'!$B$14,Routes!$A$5:$I$104,9,FALSE)&lt;&gt;"Ready","Set route",IF(COUNTA(H21)=0,VLOOKUP('Trip Details'!$B$14,Routes!$A$5:$I$104,4,FALSE),IF(COUNT(H21)=1,H21,"Check fare"))),"Set route")))</x:f>
      </x:c>
      <x:c r="E21" s="32" t="str">
        <x:f>IF(B21="","",_xlfn.IFNA(IF(VLOOKUP(B21,Counters!$A$5:$H$104,8,FALSE)&lt;&gt;"Ready","Set counter",IF(OR(VLOOKUP(B21,Counters!$A$5:$H$104,2,FALSE)="None",VLOOKUP(B21,Counters!$A$5:$H$104,2,FALSE)=0),0,IF(COUNT(D21)&lt;&gt;1,"Check fare",IF(VLOOKUP(B21,Counters!$A$5:$H$104,2,FALSE)="Fixed",VLOOKUP(B21,Counters!$A$5:$H$104,3,FALSE),ROUND(D21*VLOOKUP(B21,Counters!$A$5:$H$104,3,FALSE)/100,2))))),"Set counter"))</x:f>
      </x:c>
      <x:c r="F21" s="32" t="str">
        <x:f>IF(B21="","",IF(COUNT(D21:E21)&lt;&gt;2,"Check settings",IF(OR(D21&lt;0,E21&lt;0,E21&gt;D21,ROUND(D21,2)&lt;&gt;D21),"Check settings",D21-E21)))</x:f>
      </x:c>
      <x:c r="G21" s="12" t="str">
        <x:f>IF(B21="","",_xlfn.IFNA(IF(VLOOKUP(B21,Counters!$A$5:$H$104,4,FALSE)=0,"",VLOOKUP(B21,Counters!$A$5:$H$104,4,FALSE)),"Set counter"))</x:f>
      </x:c>
      <x:c r="H21" s="15"/>
    </x:row>
    <x:row r="22" ht="28" customHeight="1">
      <x:c r="A22" s="8" t="str">
        <x:v>E-2</x:v>
      </x:c>
      <x:c r="B22" s="11"/>
      <x:c r="C22" s="12" t="str">
        <x:f>IF(B22="","",1)</x:f>
      </x:c>
      <x:c r="D22" s="32" t="str">
        <x:f>IF(B22="","",IF('Trip Details'!$B$14="","Choose route",_xlfn.IFNA(IF(VLOOKUP('Trip Details'!$B$14,Routes!$A$5:$I$104,9,FALSE)&lt;&gt;"Ready","Set route",IF(COUNTA(H22)=0,VLOOKUP('Trip Details'!$B$14,Routes!$A$5:$I$104,4,FALSE),IF(COUNT(H22)=1,H22,"Check fare"))),"Set route")))</x:f>
      </x:c>
      <x:c r="E22" s="32" t="str">
        <x:f>IF(B22="","",_xlfn.IFNA(IF(VLOOKUP(B22,Counters!$A$5:$H$104,8,FALSE)&lt;&gt;"Ready","Set counter",IF(OR(VLOOKUP(B22,Counters!$A$5:$H$104,2,FALSE)="None",VLOOKUP(B22,Counters!$A$5:$H$104,2,FALSE)=0),0,IF(COUNT(D22)&lt;&gt;1,"Check fare",IF(VLOOKUP(B22,Counters!$A$5:$H$104,2,FALSE)="Fixed",VLOOKUP(B22,Counters!$A$5:$H$104,3,FALSE),ROUND(D22*VLOOKUP(B22,Counters!$A$5:$H$104,3,FALSE)/100,2))))),"Set counter"))</x:f>
      </x:c>
      <x:c r="F22" s="32" t="str">
        <x:f>IF(B22="","",IF(COUNT(D22:E22)&lt;&gt;2,"Check settings",IF(OR(D22&lt;0,E22&lt;0,E22&gt;D22,ROUND(D22,2)&lt;&gt;D22),"Check settings",D22-E22)))</x:f>
      </x:c>
      <x:c r="G22" s="12" t="str">
        <x:f>IF(B22="","",_xlfn.IFNA(IF(VLOOKUP(B22,Counters!$A$5:$H$104,4,FALSE)=0,"",VLOOKUP(B22,Counters!$A$5:$H$104,4,FALSE)),"Set counter"))</x:f>
      </x:c>
      <x:c r="H22" s="15"/>
    </x:row>
    <x:row r="23" ht="28" customHeight="1">
      <x:c r="A23" s="8" t="str">
        <x:v>E-3</x:v>
      </x:c>
      <x:c r="B23" s="11"/>
      <x:c r="C23" s="12" t="str">
        <x:f>IF(B23="","",1)</x:f>
      </x:c>
      <x:c r="D23" s="32" t="str">
        <x:f>IF(B23="","",IF('Trip Details'!$B$14="","Choose route",_xlfn.IFNA(IF(VLOOKUP('Trip Details'!$B$14,Routes!$A$5:$I$104,9,FALSE)&lt;&gt;"Ready","Set route",IF(COUNTA(H23)=0,VLOOKUP('Trip Details'!$B$14,Routes!$A$5:$I$104,4,FALSE),IF(COUNT(H23)=1,H23,"Check fare"))),"Set route")))</x:f>
      </x:c>
      <x:c r="E23" s="32" t="str">
        <x:f>IF(B23="","",_xlfn.IFNA(IF(VLOOKUP(B23,Counters!$A$5:$H$104,8,FALSE)&lt;&gt;"Ready","Set counter",IF(OR(VLOOKUP(B23,Counters!$A$5:$H$104,2,FALSE)="None",VLOOKUP(B23,Counters!$A$5:$H$104,2,FALSE)=0),0,IF(COUNT(D23)&lt;&gt;1,"Check fare",IF(VLOOKUP(B23,Counters!$A$5:$H$104,2,FALSE)="Fixed",VLOOKUP(B23,Counters!$A$5:$H$104,3,FALSE),ROUND(D23*VLOOKUP(B23,Counters!$A$5:$H$104,3,FALSE)/100,2))))),"Set counter"))</x:f>
      </x:c>
      <x:c r="F23" s="32" t="str">
        <x:f>IF(B23="","",IF(COUNT(D23:E23)&lt;&gt;2,"Check settings",IF(OR(D23&lt;0,E23&lt;0,E23&gt;D23,ROUND(D23,2)&lt;&gt;D23),"Check settings",D23-E23)))</x:f>
      </x:c>
      <x:c r="G23" s="12" t="str">
        <x:f>IF(B23="","",_xlfn.IFNA(IF(VLOOKUP(B23,Counters!$A$5:$H$104,4,FALSE)=0,"",VLOOKUP(B23,Counters!$A$5:$H$104,4,FALSE)),"Set counter"))</x:f>
      </x:c>
      <x:c r="H23" s="15"/>
    </x:row>
    <x:row r="24" ht="28" customHeight="1">
      <x:c r="A24" s="8" t="str">
        <x:v>E-4</x:v>
      </x:c>
      <x:c r="B24" s="11"/>
      <x:c r="C24" s="12" t="str">
        <x:f>IF(B24="","",1)</x:f>
      </x:c>
      <x:c r="D24" s="32" t="str">
        <x:f>IF(B24="","",IF('Trip Details'!$B$14="","Choose route",_xlfn.IFNA(IF(VLOOKUP('Trip Details'!$B$14,Routes!$A$5:$I$104,9,FALSE)&lt;&gt;"Ready","Set route",IF(COUNTA(H24)=0,VLOOKUP('Trip Details'!$B$14,Routes!$A$5:$I$104,4,FALSE),IF(COUNT(H24)=1,H24,"Check fare"))),"Set route")))</x:f>
      </x:c>
      <x:c r="E24" s="32" t="str">
        <x:f>IF(B24="","",_xlfn.IFNA(IF(VLOOKUP(B24,Counters!$A$5:$H$104,8,FALSE)&lt;&gt;"Ready","Set counter",IF(OR(VLOOKUP(B24,Counters!$A$5:$H$104,2,FALSE)="None",VLOOKUP(B24,Counters!$A$5:$H$104,2,FALSE)=0),0,IF(COUNT(D24)&lt;&gt;1,"Check fare",IF(VLOOKUP(B24,Counters!$A$5:$H$104,2,FALSE)="Fixed",VLOOKUP(B24,Counters!$A$5:$H$104,3,FALSE),ROUND(D24*VLOOKUP(B24,Counters!$A$5:$H$104,3,FALSE)/100,2))))),"Set counter"))</x:f>
      </x:c>
      <x:c r="F24" s="32" t="str">
        <x:f>IF(B24="","",IF(COUNT(D24:E24)&lt;&gt;2,"Check settings",IF(OR(D24&lt;0,E24&lt;0,E24&gt;D24,ROUND(D24,2)&lt;&gt;D24),"Check settings",D24-E24)))</x:f>
      </x:c>
      <x:c r="G24" s="12" t="str">
        <x:f>IF(B24="","",_xlfn.IFNA(IF(VLOOKUP(B24,Counters!$A$5:$H$104,4,FALSE)=0,"",VLOOKUP(B24,Counters!$A$5:$H$104,4,FALSE)),"Set counter"))</x:f>
      </x:c>
      <x:c r="H24" s="15"/>
    </x:row>
    <x:row r="25" ht="28" customHeight="1">
      <x:c r="A25" s="8" t="str">
        <x:v>F-1</x:v>
      </x:c>
      <x:c r="B25" s="11"/>
      <x:c r="C25" s="12" t="str">
        <x:f>IF(B25="","",1)</x:f>
      </x:c>
      <x:c r="D25" s="32" t="str">
        <x:f>IF(B25="","",IF('Trip Details'!$B$14="","Choose route",_xlfn.IFNA(IF(VLOOKUP('Trip Details'!$B$14,Routes!$A$5:$I$104,9,FALSE)&lt;&gt;"Ready","Set route",IF(COUNTA(H25)=0,VLOOKUP('Trip Details'!$B$14,Routes!$A$5:$I$104,4,FALSE),IF(COUNT(H25)=1,H25,"Check fare"))),"Set route")))</x:f>
      </x:c>
      <x:c r="E25" s="32" t="str">
        <x:f>IF(B25="","",_xlfn.IFNA(IF(VLOOKUP(B25,Counters!$A$5:$H$104,8,FALSE)&lt;&gt;"Ready","Set counter",IF(OR(VLOOKUP(B25,Counters!$A$5:$H$104,2,FALSE)="None",VLOOKUP(B25,Counters!$A$5:$H$104,2,FALSE)=0),0,IF(COUNT(D25)&lt;&gt;1,"Check fare",IF(VLOOKUP(B25,Counters!$A$5:$H$104,2,FALSE)="Fixed",VLOOKUP(B25,Counters!$A$5:$H$104,3,FALSE),ROUND(D25*VLOOKUP(B25,Counters!$A$5:$H$104,3,FALSE)/100,2))))),"Set counter"))</x:f>
      </x:c>
      <x:c r="F25" s="32" t="str">
        <x:f>IF(B25="","",IF(COUNT(D25:E25)&lt;&gt;2,"Check settings",IF(OR(D25&lt;0,E25&lt;0,E25&gt;D25,ROUND(D25,2)&lt;&gt;D25),"Check settings",D25-E25)))</x:f>
      </x:c>
      <x:c r="G25" s="12" t="str">
        <x:f>IF(B25="","",_xlfn.IFNA(IF(VLOOKUP(B25,Counters!$A$5:$H$104,4,FALSE)=0,"",VLOOKUP(B25,Counters!$A$5:$H$104,4,FALSE)),"Set counter"))</x:f>
      </x:c>
      <x:c r="H25" s="15"/>
    </x:row>
    <x:row r="26" ht="28" customHeight="1">
      <x:c r="A26" s="8" t="str">
        <x:v>F-2</x:v>
      </x:c>
      <x:c r="B26" s="11"/>
      <x:c r="C26" s="12" t="str">
        <x:f>IF(B26="","",1)</x:f>
      </x:c>
      <x:c r="D26" s="32" t="str">
        <x:f>IF(B26="","",IF('Trip Details'!$B$14="","Choose route",_xlfn.IFNA(IF(VLOOKUP('Trip Details'!$B$14,Routes!$A$5:$I$104,9,FALSE)&lt;&gt;"Ready","Set route",IF(COUNTA(H26)=0,VLOOKUP('Trip Details'!$B$14,Routes!$A$5:$I$104,4,FALSE),IF(COUNT(H26)=1,H26,"Check fare"))),"Set route")))</x:f>
      </x:c>
      <x:c r="E26" s="32" t="str">
        <x:f>IF(B26="","",_xlfn.IFNA(IF(VLOOKUP(B26,Counters!$A$5:$H$104,8,FALSE)&lt;&gt;"Ready","Set counter",IF(OR(VLOOKUP(B26,Counters!$A$5:$H$104,2,FALSE)="None",VLOOKUP(B26,Counters!$A$5:$H$104,2,FALSE)=0),0,IF(COUNT(D26)&lt;&gt;1,"Check fare",IF(VLOOKUP(B26,Counters!$A$5:$H$104,2,FALSE)="Fixed",VLOOKUP(B26,Counters!$A$5:$H$104,3,FALSE),ROUND(D26*VLOOKUP(B26,Counters!$A$5:$H$104,3,FALSE)/100,2))))),"Set counter"))</x:f>
      </x:c>
      <x:c r="F26" s="32" t="str">
        <x:f>IF(B26="","",IF(COUNT(D26:E26)&lt;&gt;2,"Check settings",IF(OR(D26&lt;0,E26&lt;0,E26&gt;D26,ROUND(D26,2)&lt;&gt;D26),"Check settings",D26-E26)))</x:f>
      </x:c>
      <x:c r="G26" s="12" t="str">
        <x:f>IF(B26="","",_xlfn.IFNA(IF(VLOOKUP(B26,Counters!$A$5:$H$104,4,FALSE)=0,"",VLOOKUP(B26,Counters!$A$5:$H$104,4,FALSE)),"Set counter"))</x:f>
      </x:c>
      <x:c r="H26" s="15"/>
    </x:row>
    <x:row r="27" ht="28" customHeight="1">
      <x:c r="A27" s="8" t="str">
        <x:v>F-3</x:v>
      </x:c>
      <x:c r="B27" s="11"/>
      <x:c r="C27" s="12" t="str">
        <x:f>IF(B27="","",1)</x:f>
      </x:c>
      <x:c r="D27" s="32" t="str">
        <x:f>IF(B27="","",IF('Trip Details'!$B$14="","Choose route",_xlfn.IFNA(IF(VLOOKUP('Trip Details'!$B$14,Routes!$A$5:$I$104,9,FALSE)&lt;&gt;"Ready","Set route",IF(COUNTA(H27)=0,VLOOKUP('Trip Details'!$B$14,Routes!$A$5:$I$104,4,FALSE),IF(COUNT(H27)=1,H27,"Check fare"))),"Set route")))</x:f>
      </x:c>
      <x:c r="E27" s="32" t="str">
        <x:f>IF(B27="","",_xlfn.IFNA(IF(VLOOKUP(B27,Counters!$A$5:$H$104,8,FALSE)&lt;&gt;"Ready","Set counter",IF(OR(VLOOKUP(B27,Counters!$A$5:$H$104,2,FALSE)="None",VLOOKUP(B27,Counters!$A$5:$H$104,2,FALSE)=0),0,IF(COUNT(D27)&lt;&gt;1,"Check fare",IF(VLOOKUP(B27,Counters!$A$5:$H$104,2,FALSE)="Fixed",VLOOKUP(B27,Counters!$A$5:$H$104,3,FALSE),ROUND(D27*VLOOKUP(B27,Counters!$A$5:$H$104,3,FALSE)/100,2))))),"Set counter"))</x:f>
      </x:c>
      <x:c r="F27" s="32" t="str">
        <x:f>IF(B27="","",IF(COUNT(D27:E27)&lt;&gt;2,"Check settings",IF(OR(D27&lt;0,E27&lt;0,E27&gt;D27,ROUND(D27,2)&lt;&gt;D27),"Check settings",D27-E27)))</x:f>
      </x:c>
      <x:c r="G27" s="12" t="str">
        <x:f>IF(B27="","",_xlfn.IFNA(IF(VLOOKUP(B27,Counters!$A$5:$H$104,4,FALSE)=0,"",VLOOKUP(B27,Counters!$A$5:$H$104,4,FALSE)),"Set counter"))</x:f>
      </x:c>
      <x:c r="H27" s="15"/>
    </x:row>
    <x:row r="28" ht="28" customHeight="1">
      <x:c r="A28" s="8" t="str">
        <x:v>F-4</x:v>
      </x:c>
      <x:c r="B28" s="11"/>
      <x:c r="C28" s="12" t="str">
        <x:f>IF(B28="","",1)</x:f>
      </x:c>
      <x:c r="D28" s="32" t="str">
        <x:f>IF(B28="","",IF('Trip Details'!$B$14="","Choose route",_xlfn.IFNA(IF(VLOOKUP('Trip Details'!$B$14,Routes!$A$5:$I$104,9,FALSE)&lt;&gt;"Ready","Set route",IF(COUNTA(H28)=0,VLOOKUP('Trip Details'!$B$14,Routes!$A$5:$I$104,4,FALSE),IF(COUNT(H28)=1,H28,"Check fare"))),"Set route")))</x:f>
      </x:c>
      <x:c r="E28" s="32" t="str">
        <x:f>IF(B28="","",_xlfn.IFNA(IF(VLOOKUP(B28,Counters!$A$5:$H$104,8,FALSE)&lt;&gt;"Ready","Set counter",IF(OR(VLOOKUP(B28,Counters!$A$5:$H$104,2,FALSE)="None",VLOOKUP(B28,Counters!$A$5:$H$104,2,FALSE)=0),0,IF(COUNT(D28)&lt;&gt;1,"Check fare",IF(VLOOKUP(B28,Counters!$A$5:$H$104,2,FALSE)="Fixed",VLOOKUP(B28,Counters!$A$5:$H$104,3,FALSE),ROUND(D28*VLOOKUP(B28,Counters!$A$5:$H$104,3,FALSE)/100,2))))),"Set counter"))</x:f>
      </x:c>
      <x:c r="F28" s="32" t="str">
        <x:f>IF(B28="","",IF(COUNT(D28:E28)&lt;&gt;2,"Check settings",IF(OR(D28&lt;0,E28&lt;0,E28&gt;D28,ROUND(D28,2)&lt;&gt;D28),"Check settings",D28-E28)))</x:f>
      </x:c>
      <x:c r="G28" s="12" t="str">
        <x:f>IF(B28="","",_xlfn.IFNA(IF(VLOOKUP(B28,Counters!$A$5:$H$104,4,FALSE)=0,"",VLOOKUP(B28,Counters!$A$5:$H$104,4,FALSE)),"Set counter"))</x:f>
      </x:c>
      <x:c r="H28" s="15"/>
    </x:row>
    <x:row r="29" ht="28" customHeight="1">
      <x:c r="A29" s="8" t="str">
        <x:v>G-1</x:v>
      </x:c>
      <x:c r="B29" s="11"/>
      <x:c r="C29" s="12" t="str">
        <x:f>IF(B29="","",1)</x:f>
      </x:c>
      <x:c r="D29" s="32" t="str">
        <x:f>IF(B29="","",IF('Trip Details'!$B$14="","Choose route",_xlfn.IFNA(IF(VLOOKUP('Trip Details'!$B$14,Routes!$A$5:$I$104,9,FALSE)&lt;&gt;"Ready","Set route",IF(COUNTA(H29)=0,VLOOKUP('Trip Details'!$B$14,Routes!$A$5:$I$104,4,FALSE),IF(COUNT(H29)=1,H29,"Check fare"))),"Set route")))</x:f>
      </x:c>
      <x:c r="E29" s="32" t="str">
        <x:f>IF(B29="","",_xlfn.IFNA(IF(VLOOKUP(B29,Counters!$A$5:$H$104,8,FALSE)&lt;&gt;"Ready","Set counter",IF(OR(VLOOKUP(B29,Counters!$A$5:$H$104,2,FALSE)="None",VLOOKUP(B29,Counters!$A$5:$H$104,2,FALSE)=0),0,IF(COUNT(D29)&lt;&gt;1,"Check fare",IF(VLOOKUP(B29,Counters!$A$5:$H$104,2,FALSE)="Fixed",VLOOKUP(B29,Counters!$A$5:$H$104,3,FALSE),ROUND(D29*VLOOKUP(B29,Counters!$A$5:$H$104,3,FALSE)/100,2))))),"Set counter"))</x:f>
      </x:c>
      <x:c r="F29" s="32" t="str">
        <x:f>IF(B29="","",IF(COUNT(D29:E29)&lt;&gt;2,"Check settings",IF(OR(D29&lt;0,E29&lt;0,E29&gt;D29,ROUND(D29,2)&lt;&gt;D29),"Check settings",D29-E29)))</x:f>
      </x:c>
      <x:c r="G29" s="12" t="str">
        <x:f>IF(B29="","",_xlfn.IFNA(IF(VLOOKUP(B29,Counters!$A$5:$H$104,4,FALSE)=0,"",VLOOKUP(B29,Counters!$A$5:$H$104,4,FALSE)),"Set counter"))</x:f>
      </x:c>
      <x:c r="H29" s="15"/>
    </x:row>
    <x:row r="30" ht="28" customHeight="1">
      <x:c r="A30" s="8" t="str">
        <x:v>G-2</x:v>
      </x:c>
      <x:c r="B30" s="11"/>
      <x:c r="C30" s="12" t="str">
        <x:f>IF(B30="","",1)</x:f>
      </x:c>
      <x:c r="D30" s="32" t="str">
        <x:f>IF(B30="","",IF('Trip Details'!$B$14="","Choose route",_xlfn.IFNA(IF(VLOOKUP('Trip Details'!$B$14,Routes!$A$5:$I$104,9,FALSE)&lt;&gt;"Ready","Set route",IF(COUNTA(H30)=0,VLOOKUP('Trip Details'!$B$14,Routes!$A$5:$I$104,4,FALSE),IF(COUNT(H30)=1,H30,"Check fare"))),"Set route")))</x:f>
      </x:c>
      <x:c r="E30" s="32" t="str">
        <x:f>IF(B30="","",_xlfn.IFNA(IF(VLOOKUP(B30,Counters!$A$5:$H$104,8,FALSE)&lt;&gt;"Ready","Set counter",IF(OR(VLOOKUP(B30,Counters!$A$5:$H$104,2,FALSE)="None",VLOOKUP(B30,Counters!$A$5:$H$104,2,FALSE)=0),0,IF(COUNT(D30)&lt;&gt;1,"Check fare",IF(VLOOKUP(B30,Counters!$A$5:$H$104,2,FALSE)="Fixed",VLOOKUP(B30,Counters!$A$5:$H$104,3,FALSE),ROUND(D30*VLOOKUP(B30,Counters!$A$5:$H$104,3,FALSE)/100,2))))),"Set counter"))</x:f>
      </x:c>
      <x:c r="F30" s="32" t="str">
        <x:f>IF(B30="","",IF(COUNT(D30:E30)&lt;&gt;2,"Check settings",IF(OR(D30&lt;0,E30&lt;0,E30&gt;D30,ROUND(D30,2)&lt;&gt;D30),"Check settings",D30-E30)))</x:f>
      </x:c>
      <x:c r="G30" s="12" t="str">
        <x:f>IF(B30="","",_xlfn.IFNA(IF(VLOOKUP(B30,Counters!$A$5:$H$104,4,FALSE)=0,"",VLOOKUP(B30,Counters!$A$5:$H$104,4,FALSE)),"Set counter"))</x:f>
      </x:c>
      <x:c r="H30" s="15"/>
    </x:row>
    <x:row r="31" ht="28" customHeight="1">
      <x:c r="A31" s="8" t="str">
        <x:v>G-3</x:v>
      </x:c>
      <x:c r="B31" s="11"/>
      <x:c r="C31" s="12" t="str">
        <x:f>IF(B31="","",1)</x:f>
      </x:c>
      <x:c r="D31" s="32" t="str">
        <x:f>IF(B31="","",IF('Trip Details'!$B$14="","Choose route",_xlfn.IFNA(IF(VLOOKUP('Trip Details'!$B$14,Routes!$A$5:$I$104,9,FALSE)&lt;&gt;"Ready","Set route",IF(COUNTA(H31)=0,VLOOKUP('Trip Details'!$B$14,Routes!$A$5:$I$104,4,FALSE),IF(COUNT(H31)=1,H31,"Check fare"))),"Set route")))</x:f>
      </x:c>
      <x:c r="E31" s="32" t="str">
        <x:f>IF(B31="","",_xlfn.IFNA(IF(VLOOKUP(B31,Counters!$A$5:$H$104,8,FALSE)&lt;&gt;"Ready","Set counter",IF(OR(VLOOKUP(B31,Counters!$A$5:$H$104,2,FALSE)="None",VLOOKUP(B31,Counters!$A$5:$H$104,2,FALSE)=0),0,IF(COUNT(D31)&lt;&gt;1,"Check fare",IF(VLOOKUP(B31,Counters!$A$5:$H$104,2,FALSE)="Fixed",VLOOKUP(B31,Counters!$A$5:$H$104,3,FALSE),ROUND(D31*VLOOKUP(B31,Counters!$A$5:$H$104,3,FALSE)/100,2))))),"Set counter"))</x:f>
      </x:c>
      <x:c r="F31" s="32" t="str">
        <x:f>IF(B31="","",IF(COUNT(D31:E31)&lt;&gt;2,"Check settings",IF(OR(D31&lt;0,E31&lt;0,E31&gt;D31,ROUND(D31,2)&lt;&gt;D31),"Check settings",D31-E31)))</x:f>
      </x:c>
      <x:c r="G31" s="12" t="str">
        <x:f>IF(B31="","",_xlfn.IFNA(IF(VLOOKUP(B31,Counters!$A$5:$H$104,4,FALSE)=0,"",VLOOKUP(B31,Counters!$A$5:$H$104,4,FALSE)),"Set counter"))</x:f>
      </x:c>
      <x:c r="H31" s="15"/>
    </x:row>
    <x:row r="32" ht="28" customHeight="1">
      <x:c r="A32" s="8" t="str">
        <x:v>G-4</x:v>
      </x:c>
      <x:c r="B32" s="11"/>
      <x:c r="C32" s="12" t="str">
        <x:f>IF(B32="","",1)</x:f>
      </x:c>
      <x:c r="D32" s="32" t="str">
        <x:f>IF(B32="","",IF('Trip Details'!$B$14="","Choose route",_xlfn.IFNA(IF(VLOOKUP('Trip Details'!$B$14,Routes!$A$5:$I$104,9,FALSE)&lt;&gt;"Ready","Set route",IF(COUNTA(H32)=0,VLOOKUP('Trip Details'!$B$14,Routes!$A$5:$I$104,4,FALSE),IF(COUNT(H32)=1,H32,"Check fare"))),"Set route")))</x:f>
      </x:c>
      <x:c r="E32" s="32" t="str">
        <x:f>IF(B32="","",_xlfn.IFNA(IF(VLOOKUP(B32,Counters!$A$5:$H$104,8,FALSE)&lt;&gt;"Ready","Set counter",IF(OR(VLOOKUP(B32,Counters!$A$5:$H$104,2,FALSE)="None",VLOOKUP(B32,Counters!$A$5:$H$104,2,FALSE)=0),0,IF(COUNT(D32)&lt;&gt;1,"Check fare",IF(VLOOKUP(B32,Counters!$A$5:$H$104,2,FALSE)="Fixed",VLOOKUP(B32,Counters!$A$5:$H$104,3,FALSE),ROUND(D32*VLOOKUP(B32,Counters!$A$5:$H$104,3,FALSE)/100,2))))),"Set counter"))</x:f>
      </x:c>
      <x:c r="F32" s="32" t="str">
        <x:f>IF(B32="","",IF(COUNT(D32:E32)&lt;&gt;2,"Check settings",IF(OR(D32&lt;0,E32&lt;0,E32&gt;D32,ROUND(D32,2)&lt;&gt;D32),"Check settings",D32-E32)))</x:f>
      </x:c>
      <x:c r="G32" s="12" t="str">
        <x:f>IF(B32="","",_xlfn.IFNA(IF(VLOOKUP(B32,Counters!$A$5:$H$104,4,FALSE)=0,"",VLOOKUP(B32,Counters!$A$5:$H$104,4,FALSE)),"Set counter"))</x:f>
      </x:c>
      <x:c r="H32" s="15"/>
    </x:row>
    <x:row r="33" ht="28" customHeight="1">
      <x:c r="A33" s="8" t="str">
        <x:v>H-1</x:v>
      </x:c>
      <x:c r="B33" s="11"/>
      <x:c r="C33" s="12" t="str">
        <x:f>IF(B33="","",1)</x:f>
      </x:c>
      <x:c r="D33" s="32" t="str">
        <x:f>IF(B33="","",IF('Trip Details'!$B$14="","Choose route",_xlfn.IFNA(IF(VLOOKUP('Trip Details'!$B$14,Routes!$A$5:$I$104,9,FALSE)&lt;&gt;"Ready","Set route",IF(COUNTA(H33)=0,VLOOKUP('Trip Details'!$B$14,Routes!$A$5:$I$104,4,FALSE),IF(COUNT(H33)=1,H33,"Check fare"))),"Set route")))</x:f>
      </x:c>
      <x:c r="E33" s="32" t="str">
        <x:f>IF(B33="","",_xlfn.IFNA(IF(VLOOKUP(B33,Counters!$A$5:$H$104,8,FALSE)&lt;&gt;"Ready","Set counter",IF(OR(VLOOKUP(B33,Counters!$A$5:$H$104,2,FALSE)="None",VLOOKUP(B33,Counters!$A$5:$H$104,2,FALSE)=0),0,IF(COUNT(D33)&lt;&gt;1,"Check fare",IF(VLOOKUP(B33,Counters!$A$5:$H$104,2,FALSE)="Fixed",VLOOKUP(B33,Counters!$A$5:$H$104,3,FALSE),ROUND(D33*VLOOKUP(B33,Counters!$A$5:$H$104,3,FALSE)/100,2))))),"Set counter"))</x:f>
      </x:c>
      <x:c r="F33" s="32" t="str">
        <x:f>IF(B33="","",IF(COUNT(D33:E33)&lt;&gt;2,"Check settings",IF(OR(D33&lt;0,E33&lt;0,E33&gt;D33,ROUND(D33,2)&lt;&gt;D33),"Check settings",D33-E33)))</x:f>
      </x:c>
      <x:c r="G33" s="12" t="str">
        <x:f>IF(B33="","",_xlfn.IFNA(IF(VLOOKUP(B33,Counters!$A$5:$H$104,4,FALSE)=0,"",VLOOKUP(B33,Counters!$A$5:$H$104,4,FALSE)),"Set counter"))</x:f>
      </x:c>
      <x:c r="H33" s="15"/>
    </x:row>
    <x:row r="34" ht="28" customHeight="1">
      <x:c r="A34" s="8" t="str">
        <x:v>H-2</x:v>
      </x:c>
      <x:c r="B34" s="11"/>
      <x:c r="C34" s="12" t="str">
        <x:f>IF(B34="","",1)</x:f>
      </x:c>
      <x:c r="D34" s="32" t="str">
        <x:f>IF(B34="","",IF('Trip Details'!$B$14="","Choose route",_xlfn.IFNA(IF(VLOOKUP('Trip Details'!$B$14,Routes!$A$5:$I$104,9,FALSE)&lt;&gt;"Ready","Set route",IF(COUNTA(H34)=0,VLOOKUP('Trip Details'!$B$14,Routes!$A$5:$I$104,4,FALSE),IF(COUNT(H34)=1,H34,"Check fare"))),"Set route")))</x:f>
      </x:c>
      <x:c r="E34" s="32" t="str">
        <x:f>IF(B34="","",_xlfn.IFNA(IF(VLOOKUP(B34,Counters!$A$5:$H$104,8,FALSE)&lt;&gt;"Ready","Set counter",IF(OR(VLOOKUP(B34,Counters!$A$5:$H$104,2,FALSE)="None",VLOOKUP(B34,Counters!$A$5:$H$104,2,FALSE)=0),0,IF(COUNT(D34)&lt;&gt;1,"Check fare",IF(VLOOKUP(B34,Counters!$A$5:$H$104,2,FALSE)="Fixed",VLOOKUP(B34,Counters!$A$5:$H$104,3,FALSE),ROUND(D34*VLOOKUP(B34,Counters!$A$5:$H$104,3,FALSE)/100,2))))),"Set counter"))</x:f>
      </x:c>
      <x:c r="F34" s="32" t="str">
        <x:f>IF(B34="","",IF(COUNT(D34:E34)&lt;&gt;2,"Check settings",IF(OR(D34&lt;0,E34&lt;0,E34&gt;D34,ROUND(D34,2)&lt;&gt;D34),"Check settings",D34-E34)))</x:f>
      </x:c>
      <x:c r="G34" s="12" t="str">
        <x:f>IF(B34="","",_xlfn.IFNA(IF(VLOOKUP(B34,Counters!$A$5:$H$104,4,FALSE)=0,"",VLOOKUP(B34,Counters!$A$5:$H$104,4,FALSE)),"Set counter"))</x:f>
      </x:c>
      <x:c r="H34" s="15"/>
    </x:row>
    <x:row r="35" ht="28" customHeight="1">
      <x:c r="A35" s="8" t="str">
        <x:v>H-3</x:v>
      </x:c>
      <x:c r="B35" s="11"/>
      <x:c r="C35" s="12" t="str">
        <x:f>IF(B35="","",1)</x:f>
      </x:c>
      <x:c r="D35" s="32" t="str">
        <x:f>IF(B35="","",IF('Trip Details'!$B$14="","Choose route",_xlfn.IFNA(IF(VLOOKUP('Trip Details'!$B$14,Routes!$A$5:$I$104,9,FALSE)&lt;&gt;"Ready","Set route",IF(COUNTA(H35)=0,VLOOKUP('Trip Details'!$B$14,Routes!$A$5:$I$104,4,FALSE),IF(COUNT(H35)=1,H35,"Check fare"))),"Set route")))</x:f>
      </x:c>
      <x:c r="E35" s="32" t="str">
        <x:f>IF(B35="","",_xlfn.IFNA(IF(VLOOKUP(B35,Counters!$A$5:$H$104,8,FALSE)&lt;&gt;"Ready","Set counter",IF(OR(VLOOKUP(B35,Counters!$A$5:$H$104,2,FALSE)="None",VLOOKUP(B35,Counters!$A$5:$H$104,2,FALSE)=0),0,IF(COUNT(D35)&lt;&gt;1,"Check fare",IF(VLOOKUP(B35,Counters!$A$5:$H$104,2,FALSE)="Fixed",VLOOKUP(B35,Counters!$A$5:$H$104,3,FALSE),ROUND(D35*VLOOKUP(B35,Counters!$A$5:$H$104,3,FALSE)/100,2))))),"Set counter"))</x:f>
      </x:c>
      <x:c r="F35" s="32" t="str">
        <x:f>IF(B35="","",IF(COUNT(D35:E35)&lt;&gt;2,"Check settings",IF(OR(D35&lt;0,E35&lt;0,E35&gt;D35,ROUND(D35,2)&lt;&gt;D35),"Check settings",D35-E35)))</x:f>
      </x:c>
      <x:c r="G35" s="12" t="str">
        <x:f>IF(B35="","",_xlfn.IFNA(IF(VLOOKUP(B35,Counters!$A$5:$H$104,4,FALSE)=0,"",VLOOKUP(B35,Counters!$A$5:$H$104,4,FALSE)),"Set counter"))</x:f>
      </x:c>
      <x:c r="H35" s="15"/>
    </x:row>
    <x:row r="36" ht="28" customHeight="1">
      <x:c r="A36" s="8" t="str">
        <x:v>H-4</x:v>
      </x:c>
      <x:c r="B36" s="11"/>
      <x:c r="C36" s="12" t="str">
        <x:f>IF(B36="","",1)</x:f>
      </x:c>
      <x:c r="D36" s="32" t="str">
        <x:f>IF(B36="","",IF('Trip Details'!$B$14="","Choose route",_xlfn.IFNA(IF(VLOOKUP('Trip Details'!$B$14,Routes!$A$5:$I$104,9,FALSE)&lt;&gt;"Ready","Set route",IF(COUNTA(H36)=0,VLOOKUP('Trip Details'!$B$14,Routes!$A$5:$I$104,4,FALSE),IF(COUNT(H36)=1,H36,"Check fare"))),"Set route")))</x:f>
      </x:c>
      <x:c r="E36" s="32" t="str">
        <x:f>IF(B36="","",_xlfn.IFNA(IF(VLOOKUP(B36,Counters!$A$5:$H$104,8,FALSE)&lt;&gt;"Ready","Set counter",IF(OR(VLOOKUP(B36,Counters!$A$5:$H$104,2,FALSE)="None",VLOOKUP(B36,Counters!$A$5:$H$104,2,FALSE)=0),0,IF(COUNT(D36)&lt;&gt;1,"Check fare",IF(VLOOKUP(B36,Counters!$A$5:$H$104,2,FALSE)="Fixed",VLOOKUP(B36,Counters!$A$5:$H$104,3,FALSE),ROUND(D36*VLOOKUP(B36,Counters!$A$5:$H$104,3,FALSE)/100,2))))),"Set counter"))</x:f>
      </x:c>
      <x:c r="F36" s="32" t="str">
        <x:f>IF(B36="","",IF(COUNT(D36:E36)&lt;&gt;2,"Check settings",IF(OR(D36&lt;0,E36&lt;0,E36&gt;D36,ROUND(D36,2)&lt;&gt;D36),"Check settings",D36-E36)))</x:f>
      </x:c>
      <x:c r="G36" s="12" t="str">
        <x:f>IF(B36="","",_xlfn.IFNA(IF(VLOOKUP(B36,Counters!$A$5:$H$104,4,FALSE)=0,"",VLOOKUP(B36,Counters!$A$5:$H$104,4,FALSE)),"Set counter"))</x:f>
      </x:c>
      <x:c r="H36" s="15"/>
    </x:row>
    <x:row r="37" ht="28" customHeight="1">
      <x:c r="A37" s="8" t="str">
        <x:v>I-1</x:v>
      </x:c>
      <x:c r="B37" s="11"/>
      <x:c r="C37" s="12" t="str">
        <x:f>IF(B37="","",1)</x:f>
      </x:c>
      <x:c r="D37" s="32" t="str">
        <x:f>IF(B37="","",IF('Trip Details'!$B$14="","Choose route",_xlfn.IFNA(IF(VLOOKUP('Trip Details'!$B$14,Routes!$A$5:$I$104,9,FALSE)&lt;&gt;"Ready","Set route",IF(COUNTA(H37)=0,VLOOKUP('Trip Details'!$B$14,Routes!$A$5:$I$104,4,FALSE),IF(COUNT(H37)=1,H37,"Check fare"))),"Set route")))</x:f>
      </x:c>
      <x:c r="E37" s="32" t="str">
        <x:f>IF(B37="","",_xlfn.IFNA(IF(VLOOKUP(B37,Counters!$A$5:$H$104,8,FALSE)&lt;&gt;"Ready","Set counter",IF(OR(VLOOKUP(B37,Counters!$A$5:$H$104,2,FALSE)="None",VLOOKUP(B37,Counters!$A$5:$H$104,2,FALSE)=0),0,IF(COUNT(D37)&lt;&gt;1,"Check fare",IF(VLOOKUP(B37,Counters!$A$5:$H$104,2,FALSE)="Fixed",VLOOKUP(B37,Counters!$A$5:$H$104,3,FALSE),ROUND(D37*VLOOKUP(B37,Counters!$A$5:$H$104,3,FALSE)/100,2))))),"Set counter"))</x:f>
      </x:c>
      <x:c r="F37" s="32" t="str">
        <x:f>IF(B37="","",IF(COUNT(D37:E37)&lt;&gt;2,"Check settings",IF(OR(D37&lt;0,E37&lt;0,E37&gt;D37,ROUND(D37,2)&lt;&gt;D37),"Check settings",D37-E37)))</x:f>
      </x:c>
      <x:c r="G37" s="12" t="str">
        <x:f>IF(B37="","",_xlfn.IFNA(IF(VLOOKUP(B37,Counters!$A$5:$H$104,4,FALSE)=0,"",VLOOKUP(B37,Counters!$A$5:$H$104,4,FALSE)),"Set counter"))</x:f>
      </x:c>
      <x:c r="H37" s="15"/>
    </x:row>
    <x:row r="38" ht="28" customHeight="1">
      <x:c r="A38" s="8" t="str">
        <x:v>I-2</x:v>
      </x:c>
      <x:c r="B38" s="11"/>
      <x:c r="C38" s="12" t="str">
        <x:f>IF(B38="","",1)</x:f>
      </x:c>
      <x:c r="D38" s="32" t="str">
        <x:f>IF(B38="","",IF('Trip Details'!$B$14="","Choose route",_xlfn.IFNA(IF(VLOOKUP('Trip Details'!$B$14,Routes!$A$5:$I$104,9,FALSE)&lt;&gt;"Ready","Set route",IF(COUNTA(H38)=0,VLOOKUP('Trip Details'!$B$14,Routes!$A$5:$I$104,4,FALSE),IF(COUNT(H38)=1,H38,"Check fare"))),"Set route")))</x:f>
      </x:c>
      <x:c r="E38" s="32" t="str">
        <x:f>IF(B38="","",_xlfn.IFNA(IF(VLOOKUP(B38,Counters!$A$5:$H$104,8,FALSE)&lt;&gt;"Ready","Set counter",IF(OR(VLOOKUP(B38,Counters!$A$5:$H$104,2,FALSE)="None",VLOOKUP(B38,Counters!$A$5:$H$104,2,FALSE)=0),0,IF(COUNT(D38)&lt;&gt;1,"Check fare",IF(VLOOKUP(B38,Counters!$A$5:$H$104,2,FALSE)="Fixed",VLOOKUP(B38,Counters!$A$5:$H$104,3,FALSE),ROUND(D38*VLOOKUP(B38,Counters!$A$5:$H$104,3,FALSE)/100,2))))),"Set counter"))</x:f>
      </x:c>
      <x:c r="F38" s="32" t="str">
        <x:f>IF(B38="","",IF(COUNT(D38:E38)&lt;&gt;2,"Check settings",IF(OR(D38&lt;0,E38&lt;0,E38&gt;D38,ROUND(D38,2)&lt;&gt;D38),"Check settings",D38-E38)))</x:f>
      </x:c>
      <x:c r="G38" s="12" t="str">
        <x:f>IF(B38="","",_xlfn.IFNA(IF(VLOOKUP(B38,Counters!$A$5:$H$104,4,FALSE)=0,"",VLOOKUP(B38,Counters!$A$5:$H$104,4,FALSE)),"Set counter"))</x:f>
      </x:c>
      <x:c r="H38" s="15"/>
    </x:row>
    <x:row r="39" ht="28" customHeight="1">
      <x:c r="A39" s="8" t="str">
        <x:v>I-3</x:v>
      </x:c>
      <x:c r="B39" s="11"/>
      <x:c r="C39" s="12" t="str">
        <x:f>IF(B39="","",1)</x:f>
      </x:c>
      <x:c r="D39" s="32" t="str">
        <x:f>IF(B39="","",IF('Trip Details'!$B$14="","Choose route",_xlfn.IFNA(IF(VLOOKUP('Trip Details'!$B$14,Routes!$A$5:$I$104,9,FALSE)&lt;&gt;"Ready","Set route",IF(COUNTA(H39)=0,VLOOKUP('Trip Details'!$B$14,Routes!$A$5:$I$104,4,FALSE),IF(COUNT(H39)=1,H39,"Check fare"))),"Set route")))</x:f>
      </x:c>
      <x:c r="E39" s="32" t="str">
        <x:f>IF(B39="","",_xlfn.IFNA(IF(VLOOKUP(B39,Counters!$A$5:$H$104,8,FALSE)&lt;&gt;"Ready","Set counter",IF(OR(VLOOKUP(B39,Counters!$A$5:$H$104,2,FALSE)="None",VLOOKUP(B39,Counters!$A$5:$H$104,2,FALSE)=0),0,IF(COUNT(D39)&lt;&gt;1,"Check fare",IF(VLOOKUP(B39,Counters!$A$5:$H$104,2,FALSE)="Fixed",VLOOKUP(B39,Counters!$A$5:$H$104,3,FALSE),ROUND(D39*VLOOKUP(B39,Counters!$A$5:$H$104,3,FALSE)/100,2))))),"Set counter"))</x:f>
      </x:c>
      <x:c r="F39" s="32" t="str">
        <x:f>IF(B39="","",IF(COUNT(D39:E39)&lt;&gt;2,"Check settings",IF(OR(D39&lt;0,E39&lt;0,E39&gt;D39,ROUND(D39,2)&lt;&gt;D39),"Check settings",D39-E39)))</x:f>
      </x:c>
      <x:c r="G39" s="12" t="str">
        <x:f>IF(B39="","",_xlfn.IFNA(IF(VLOOKUP(B39,Counters!$A$5:$H$104,4,FALSE)=0,"",VLOOKUP(B39,Counters!$A$5:$H$104,4,FALSE)),"Set counter"))</x:f>
      </x:c>
      <x:c r="H39" s="15"/>
    </x:row>
    <x:row r="40" ht="28" customHeight="1">
      <x:c r="A40" s="8" t="str">
        <x:v>I-4</x:v>
      </x:c>
      <x:c r="B40" s="11"/>
      <x:c r="C40" s="12" t="str">
        <x:f>IF(B40="","",1)</x:f>
      </x:c>
      <x:c r="D40" s="32" t="str">
        <x:f>IF(B40="","",IF('Trip Details'!$B$14="","Choose route",_xlfn.IFNA(IF(VLOOKUP('Trip Details'!$B$14,Routes!$A$5:$I$104,9,FALSE)&lt;&gt;"Ready","Set route",IF(COUNTA(H40)=0,VLOOKUP('Trip Details'!$B$14,Routes!$A$5:$I$104,4,FALSE),IF(COUNT(H40)=1,H40,"Check fare"))),"Set route")))</x:f>
      </x:c>
      <x:c r="E40" s="32" t="str">
        <x:f>IF(B40="","",_xlfn.IFNA(IF(VLOOKUP(B40,Counters!$A$5:$H$104,8,FALSE)&lt;&gt;"Ready","Set counter",IF(OR(VLOOKUP(B40,Counters!$A$5:$H$104,2,FALSE)="None",VLOOKUP(B40,Counters!$A$5:$H$104,2,FALSE)=0),0,IF(COUNT(D40)&lt;&gt;1,"Check fare",IF(VLOOKUP(B40,Counters!$A$5:$H$104,2,FALSE)="Fixed",VLOOKUP(B40,Counters!$A$5:$H$104,3,FALSE),ROUND(D40*VLOOKUP(B40,Counters!$A$5:$H$104,3,FALSE)/100,2))))),"Set counter"))</x:f>
      </x:c>
      <x:c r="F40" s="32" t="str">
        <x:f>IF(B40="","",IF(COUNT(D40:E40)&lt;&gt;2,"Check settings",IF(OR(D40&lt;0,E40&lt;0,E40&gt;D40,ROUND(D40,2)&lt;&gt;D40),"Check settings",D40-E40)))</x:f>
      </x:c>
      <x:c r="G40" s="12" t="str">
        <x:f>IF(B40="","",_xlfn.IFNA(IF(VLOOKUP(B40,Counters!$A$5:$H$104,4,FALSE)=0,"",VLOOKUP(B40,Counters!$A$5:$H$104,4,FALSE)),"Set counter"))</x:f>
      </x:c>
      <x:c r="H40" s="15"/>
    </x:row>
    <x:row r="41" ht="28" customHeight="1">
      <x:c r="A41" s="33" t="str">
        <x:v>TOTAL</x:v>
      </x:c>
      <x:c r="B41" s="33"/>
      <x:c r="C41" s="33" t="n">
        <x:f>SUM(C5:C40)</x:f>
        <x:v>0</x:v>
      </x:c>
      <x:c r="D41" s="34" t="n">
        <x:f>SUM(D5:D40)</x:f>
        <x:v>0</x:v>
      </x:c>
      <x:c r="E41" s="34" t="n">
        <x:f>SUM(E5:E40)</x:f>
        <x:v>0</x:v>
      </x:c>
      <x:c r="F41" s="34" t="n">
        <x:f>IF(COUNTIFS(F5:F40,"Check settings")&gt;0,"Check settings",SUM(F5:F40))</x:f>
        <x:v>0</x:v>
      </x:c>
      <x:c r="G41" s="33"/>
      <x:c r="H41" s="33"/>
    </x:row>
    <x:row r="42" ht="28" customHeight="1">
      <x:c r="A42" s="8"/>
      <x:c r="B42" s="8"/>
      <x:c r="C42" s="8"/>
      <x:c r="D42" s="8"/>
      <x:c r="E42" s="8"/>
      <x:c r="F42" s="8"/>
      <x:c r="G42" s="8"/>
      <x:c r="H42" s="8"/>
    </x:row>
    <x:row r="43" ht="28" customHeight="1">
      <x:c r="A43" s="8" t="str">
        <x:v>Checker name is shared on Trip Details. Its printed seal/signature area is one merged blank space.</x:v>
      </x:c>
      <x:c r="B43" s="8"/>
      <x:c r="C43" s="8"/>
      <x:c r="D43" s="8"/>
      <x:c r="E43" s="8"/>
      <x:c r="F43" s="8"/>
      <x:c r="G43" s="8"/>
      <x:c r="H43" s="8"/>
    </x:row>
  </x:sheetData>
  <x:conditionalFormatting sqref="F5:F41">
    <x:cfRule type="containsText" dxfId="1" priority="1" operator="containsText" text="Check"/>
  </x:conditionalFormatting>
  <x:dataValidations count="1">
    <x:dataValidation type="list" sqref="B5:B40">
      <x:formula1>INDIRECT("Counters!$A$5:$A$104")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3" hidden="0" customWidth="1"/>
    <x:col min="3" max="3" width="23" hidden="0" customWidth="1"/>
    <x:col min="4" max="4" width="17" hidden="0" customWidth="1"/>
    <x:col min="5" max="5" width="30" hidden="0" customWidth="1"/>
    <x:col min="6" max="6" width="23" hidden="0" customWidth="1"/>
    <x:col min="7" max="7" width="23" hidden="0" customWidth="1"/>
    <x:col min="8" max="8" width="18" hidden="0" customWidth="1"/>
    <x:col min="9" max="9" width="20" hidden="0" customWidth="1"/>
  </x:cols>
  <x:sheetData>
    <x:row r="1">
      <x:c r="A1" s="18" t="str">
        <x:v>Routes and fares</x:v>
      </x:c>
      <x:c r="B1" s="8"/>
      <x:c r="C1" s="8"/>
      <x:c r="D1" s="8"/>
      <x:c r="E1" s="8"/>
      <x:c r="F1" s="8"/>
      <x:c r="G1" s="8"/>
      <x:c r="H1" s="8"/>
      <x:c r="I1" s="8"/>
    </x:row>
    <x:row r="2">
      <x:c r="A2" s="8" t="str">
        <x:v>Dhaka-Chattogram fare: BDT 300, supplied by you. Add or edit routes below (up to 100).</x:v>
      </x:c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 ht="34" customHeight="1">
      <x:c r="A4" s="17" t="str">
        <x:v>Route</x:v>
      </x:c>
      <x:c r="B4" s="17" t="str">
        <x:v>From</x:v>
      </x:c>
      <x:c r="C4" s="17" t="str">
        <x:v>To</x:v>
      </x:c>
      <x:c r="D4" s="17" t="str">
        <x:v>Fare BDT</x:v>
      </x:c>
      <x:c r="E4" s="17" t="str">
        <x:v>Route EN</x:v>
      </x:c>
      <x:c r="F4" s="17" t="str">
        <x:v>From EN</x:v>
      </x:c>
      <x:c r="G4" s="17" t="str">
        <x:v>To EN</x:v>
      </x:c>
      <x:c r="H4" s="17" t="str">
        <x:v>Route No</x:v>
      </x:c>
      <x:c r="I4" s="17" t="str">
        <x:v>Status</x:v>
      </x:c>
    </x:row>
    <x:row r="5" ht="28" customHeight="1">
      <x:c r="A5" s="11" t="str">
        <x:v>ঢাকা–চট্টগ্রাম</x:v>
      </x:c>
      <x:c r="B5" s="11" t="str">
        <x:v>ঢাকা</x:v>
      </x:c>
      <x:c r="C5" s="11" t="str">
        <x:v>চট্টগ্রাম</x:v>
      </x:c>
      <x:c r="D5" s="15" t="n">
        <x:v>300</x:v>
      </x:c>
      <x:c r="E5" s="11" t="str">
        <x:v>Dhaka–Chattogram</x:v>
      </x:c>
      <x:c r="F5" s="11" t="str">
        <x:v>Dhaka</x:v>
      </x:c>
      <x:c r="G5" s="11" t="str">
        <x:v>Chattogram</x:v>
      </x:c>
      <x:c r="H5" s="11"/>
      <x:c r="I5" s="12" t="str">
        <x:f>IF(A5="","",IF(OR(B5="",C5=""),"Set places",IF(COUNT(D5)&lt;&gt;1,"Set fare",IF(OR(D5&lt;0,ROUND(D5,2)&lt;&gt;D5),"Check fare","Ready"))))</x:f>
        <x:v>Ready</x:v>
      </x:c>
    </x:row>
    <x:row r="6" ht="28" customHeight="1">
      <x:c r="A6" s="11"/>
      <x:c r="B6" s="11"/>
      <x:c r="C6" s="11"/>
      <x:c r="D6" s="15"/>
      <x:c r="E6" s="11"/>
      <x:c r="F6" s="11"/>
      <x:c r="G6" s="11"/>
      <x:c r="H6" s="11"/>
      <x:c r="I6" s="12" t="str">
        <x:f>IF(A6="","",IF(OR(B6="",C6=""),"Set places",IF(COUNT(D6)&lt;&gt;1,"Set fare",IF(OR(D6&lt;0,ROUND(D6,2)&lt;&gt;D6),"Check fare","Ready"))))</x:f>
      </x:c>
    </x:row>
    <x:row r="7" ht="28" customHeight="1">
      <x:c r="A7" s="11"/>
      <x:c r="B7" s="11"/>
      <x:c r="C7" s="11"/>
      <x:c r="D7" s="15"/>
      <x:c r="E7" s="11"/>
      <x:c r="F7" s="11"/>
      <x:c r="G7" s="11"/>
      <x:c r="H7" s="11"/>
      <x:c r="I7" s="12" t="str">
        <x:f>IF(A7="","",IF(OR(B7="",C7=""),"Set places",IF(COUNT(D7)&lt;&gt;1,"Set fare",IF(OR(D7&lt;0,ROUND(D7,2)&lt;&gt;D7),"Check fare","Ready"))))</x:f>
      </x:c>
    </x:row>
    <x:row r="8" ht="28" customHeight="1">
      <x:c r="A8" s="11"/>
      <x:c r="B8" s="11"/>
      <x:c r="C8" s="11"/>
      <x:c r="D8" s="15"/>
      <x:c r="E8" s="11"/>
      <x:c r="F8" s="11"/>
      <x:c r="G8" s="11"/>
      <x:c r="H8" s="11"/>
      <x:c r="I8" s="12" t="str">
        <x:f>IF(A8="","",IF(OR(B8="",C8=""),"Set places",IF(COUNT(D8)&lt;&gt;1,"Set fare",IF(OR(D8&lt;0,ROUND(D8,2)&lt;&gt;D8),"Check fare","Ready"))))</x:f>
      </x:c>
    </x:row>
    <x:row r="9" ht="28" customHeight="1">
      <x:c r="A9" s="11"/>
      <x:c r="B9" s="11"/>
      <x:c r="C9" s="11"/>
      <x:c r="D9" s="15"/>
      <x:c r="E9" s="11"/>
      <x:c r="F9" s="11"/>
      <x:c r="G9" s="11"/>
      <x:c r="H9" s="11"/>
      <x:c r="I9" s="12" t="str">
        <x:f>IF(A9="","",IF(OR(B9="",C9=""),"Set places",IF(COUNT(D9)&lt;&gt;1,"Set fare",IF(OR(D9&lt;0,ROUND(D9,2)&lt;&gt;D9),"Check fare","Ready"))))</x:f>
      </x:c>
    </x:row>
    <x:row r="10" ht="28" customHeight="1">
      <x:c r="A10" s="11"/>
      <x:c r="B10" s="11"/>
      <x:c r="C10" s="11"/>
      <x:c r="D10" s="15"/>
      <x:c r="E10" s="11"/>
      <x:c r="F10" s="11"/>
      <x:c r="G10" s="11"/>
      <x:c r="H10" s="11"/>
      <x:c r="I10" s="12" t="str">
        <x:f>IF(A10="","",IF(OR(B10="",C10=""),"Set places",IF(COUNT(D10)&lt;&gt;1,"Set fare",IF(OR(D10&lt;0,ROUND(D10,2)&lt;&gt;D10),"Check fare","Ready"))))</x:f>
      </x:c>
    </x:row>
    <x:row r="11" ht="28" customHeight="1">
      <x:c r="A11" s="11"/>
      <x:c r="B11" s="11"/>
      <x:c r="C11" s="11"/>
      <x:c r="D11" s="15"/>
      <x:c r="E11" s="11"/>
      <x:c r="F11" s="11"/>
      <x:c r="G11" s="11"/>
      <x:c r="H11" s="11"/>
      <x:c r="I11" s="12" t="str">
        <x:f>IF(A11="","",IF(OR(B11="",C11=""),"Set places",IF(COUNT(D11)&lt;&gt;1,"Set fare",IF(OR(D11&lt;0,ROUND(D11,2)&lt;&gt;D11),"Check fare","Ready"))))</x:f>
      </x:c>
    </x:row>
    <x:row r="12" ht="28" customHeight="1">
      <x:c r="A12" s="11"/>
      <x:c r="B12" s="11"/>
      <x:c r="C12" s="11"/>
      <x:c r="D12" s="15"/>
      <x:c r="E12" s="11"/>
      <x:c r="F12" s="11"/>
      <x:c r="G12" s="11"/>
      <x:c r="H12" s="11"/>
      <x:c r="I12" s="12" t="str">
        <x:f>IF(A12="","",IF(OR(B12="",C12=""),"Set places",IF(COUNT(D12)&lt;&gt;1,"Set fare",IF(OR(D12&lt;0,ROUND(D12,2)&lt;&gt;D12),"Check fare","Ready"))))</x:f>
      </x:c>
    </x:row>
    <x:row r="13" ht="28" customHeight="1">
      <x:c r="A13" s="11"/>
      <x:c r="B13" s="11"/>
      <x:c r="C13" s="11"/>
      <x:c r="D13" s="15"/>
      <x:c r="E13" s="11"/>
      <x:c r="F13" s="11"/>
      <x:c r="G13" s="11"/>
      <x:c r="H13" s="11"/>
      <x:c r="I13" s="12" t="str">
        <x:f>IF(A13="","",IF(OR(B13="",C13=""),"Set places",IF(COUNT(D13)&lt;&gt;1,"Set fare",IF(OR(D13&lt;0,ROUND(D13,2)&lt;&gt;D13),"Check fare","Ready"))))</x:f>
      </x:c>
    </x:row>
    <x:row r="14" ht="28" customHeight="1">
      <x:c r="A14" s="11"/>
      <x:c r="B14" s="11"/>
      <x:c r="C14" s="11"/>
      <x:c r="D14" s="15"/>
      <x:c r="E14" s="11"/>
      <x:c r="F14" s="11"/>
      <x:c r="G14" s="11"/>
      <x:c r="H14" s="11"/>
      <x:c r="I14" s="12" t="str">
        <x:f>IF(A14="","",IF(OR(B14="",C14=""),"Set places",IF(COUNT(D14)&lt;&gt;1,"Set fare",IF(OR(D14&lt;0,ROUND(D14,2)&lt;&gt;D14),"Check fare","Ready"))))</x:f>
      </x:c>
    </x:row>
    <x:row r="15" ht="28" customHeight="1">
      <x:c r="A15" s="11"/>
      <x:c r="B15" s="11"/>
      <x:c r="C15" s="11"/>
      <x:c r="D15" s="15"/>
      <x:c r="E15" s="11"/>
      <x:c r="F15" s="11"/>
      <x:c r="G15" s="11"/>
      <x:c r="H15" s="11"/>
      <x:c r="I15" s="12" t="str">
        <x:f>IF(A15="","",IF(OR(B15="",C15=""),"Set places",IF(COUNT(D15)&lt;&gt;1,"Set fare",IF(OR(D15&lt;0,ROUND(D15,2)&lt;&gt;D15),"Check fare","Ready"))))</x:f>
      </x:c>
    </x:row>
    <x:row r="16" ht="28" customHeight="1">
      <x:c r="A16" s="11"/>
      <x:c r="B16" s="11"/>
      <x:c r="C16" s="11"/>
      <x:c r="D16" s="15"/>
      <x:c r="E16" s="11"/>
      <x:c r="F16" s="11"/>
      <x:c r="G16" s="11"/>
      <x:c r="H16" s="11"/>
      <x:c r="I16" s="12" t="str">
        <x:f>IF(A16="","",IF(OR(B16="",C16=""),"Set places",IF(COUNT(D16)&lt;&gt;1,"Set fare",IF(OR(D16&lt;0,ROUND(D16,2)&lt;&gt;D16),"Check fare","Ready"))))</x:f>
      </x:c>
    </x:row>
    <x:row r="17" ht="28" customHeight="1">
      <x:c r="A17" s="11"/>
      <x:c r="B17" s="11"/>
      <x:c r="C17" s="11"/>
      <x:c r="D17" s="15"/>
      <x:c r="E17" s="11"/>
      <x:c r="F17" s="11"/>
      <x:c r="G17" s="11"/>
      <x:c r="H17" s="11"/>
      <x:c r="I17" s="12" t="str">
        <x:f>IF(A17="","",IF(OR(B17="",C17=""),"Set places",IF(COUNT(D17)&lt;&gt;1,"Set fare",IF(OR(D17&lt;0,ROUND(D17,2)&lt;&gt;D17),"Check fare","Ready"))))</x:f>
      </x:c>
    </x:row>
    <x:row r="18" ht="28" customHeight="1">
      <x:c r="A18" s="11"/>
      <x:c r="B18" s="11"/>
      <x:c r="C18" s="11"/>
      <x:c r="D18" s="15"/>
      <x:c r="E18" s="11"/>
      <x:c r="F18" s="11"/>
      <x:c r="G18" s="11"/>
      <x:c r="H18" s="11"/>
      <x:c r="I18" s="12" t="str">
        <x:f>IF(A18="","",IF(OR(B18="",C18=""),"Set places",IF(COUNT(D18)&lt;&gt;1,"Set fare",IF(OR(D18&lt;0,ROUND(D18,2)&lt;&gt;D18),"Check fare","Ready"))))</x:f>
      </x:c>
    </x:row>
    <x:row r="19" ht="28" customHeight="1">
      <x:c r="A19" s="11"/>
      <x:c r="B19" s="11"/>
      <x:c r="C19" s="11"/>
      <x:c r="D19" s="15"/>
      <x:c r="E19" s="11"/>
      <x:c r="F19" s="11"/>
      <x:c r="G19" s="11"/>
      <x:c r="H19" s="11"/>
      <x:c r="I19" s="12" t="str">
        <x:f>IF(A19="","",IF(OR(B19="",C19=""),"Set places",IF(COUNT(D19)&lt;&gt;1,"Set fare",IF(OR(D19&lt;0,ROUND(D19,2)&lt;&gt;D19),"Check fare","Ready"))))</x:f>
      </x:c>
    </x:row>
    <x:row r="20" ht="28" customHeight="1">
      <x:c r="A20" s="11"/>
      <x:c r="B20" s="11"/>
      <x:c r="C20" s="11"/>
      <x:c r="D20" s="15"/>
      <x:c r="E20" s="11"/>
      <x:c r="F20" s="11"/>
      <x:c r="G20" s="11"/>
      <x:c r="H20" s="11"/>
      <x:c r="I20" s="12" t="str">
        <x:f>IF(A20="","",IF(OR(B20="",C20=""),"Set places",IF(COUNT(D20)&lt;&gt;1,"Set fare",IF(OR(D20&lt;0,ROUND(D20,2)&lt;&gt;D20),"Check fare","Ready"))))</x:f>
      </x:c>
    </x:row>
    <x:row r="21" ht="28" customHeight="1">
      <x:c r="A21" s="11"/>
      <x:c r="B21" s="11"/>
      <x:c r="C21" s="11"/>
      <x:c r="D21" s="15"/>
      <x:c r="E21" s="11"/>
      <x:c r="F21" s="11"/>
      <x:c r="G21" s="11"/>
      <x:c r="H21" s="11"/>
      <x:c r="I21" s="12" t="str">
        <x:f>IF(A21="","",IF(OR(B21="",C21=""),"Set places",IF(COUNT(D21)&lt;&gt;1,"Set fare",IF(OR(D21&lt;0,ROUND(D21,2)&lt;&gt;D21),"Check fare","Ready"))))</x:f>
      </x:c>
    </x:row>
    <x:row r="22" ht="28" customHeight="1">
      <x:c r="A22" s="11"/>
      <x:c r="B22" s="11"/>
      <x:c r="C22" s="11"/>
      <x:c r="D22" s="15"/>
      <x:c r="E22" s="11"/>
      <x:c r="F22" s="11"/>
      <x:c r="G22" s="11"/>
      <x:c r="H22" s="11"/>
      <x:c r="I22" s="12" t="str">
        <x:f>IF(A22="","",IF(OR(B22="",C22=""),"Set places",IF(COUNT(D22)&lt;&gt;1,"Set fare",IF(OR(D22&lt;0,ROUND(D22,2)&lt;&gt;D22),"Check fare","Ready"))))</x:f>
      </x:c>
    </x:row>
    <x:row r="23" ht="28" customHeight="1">
      <x:c r="A23" s="11"/>
      <x:c r="B23" s="11"/>
      <x:c r="C23" s="11"/>
      <x:c r="D23" s="15"/>
      <x:c r="E23" s="11"/>
      <x:c r="F23" s="11"/>
      <x:c r="G23" s="11"/>
      <x:c r="H23" s="11"/>
      <x:c r="I23" s="12" t="str">
        <x:f>IF(A23="","",IF(OR(B23="",C23=""),"Set places",IF(COUNT(D23)&lt;&gt;1,"Set fare",IF(OR(D23&lt;0,ROUND(D23,2)&lt;&gt;D23),"Check fare","Ready"))))</x:f>
      </x:c>
    </x:row>
    <x:row r="24" ht="28" customHeight="1">
      <x:c r="A24" s="11"/>
      <x:c r="B24" s="11"/>
      <x:c r="C24" s="11"/>
      <x:c r="D24" s="15"/>
      <x:c r="E24" s="11"/>
      <x:c r="F24" s="11"/>
      <x:c r="G24" s="11"/>
      <x:c r="H24" s="11"/>
      <x:c r="I24" s="12" t="str">
        <x:f>IF(A24="","",IF(OR(B24="",C24=""),"Set places",IF(COUNT(D24)&lt;&gt;1,"Set fare",IF(OR(D24&lt;0,ROUND(D24,2)&lt;&gt;D24),"Check fare","Ready"))))</x:f>
      </x:c>
    </x:row>
    <x:row r="25" ht="28" customHeight="1">
      <x:c r="A25" s="11"/>
      <x:c r="B25" s="11"/>
      <x:c r="C25" s="11"/>
      <x:c r="D25" s="15"/>
      <x:c r="E25" s="11"/>
      <x:c r="F25" s="11"/>
      <x:c r="G25" s="11"/>
      <x:c r="H25" s="11"/>
      <x:c r="I25" s="12" t="str">
        <x:f>IF(A25="","",IF(OR(B25="",C25=""),"Set places",IF(COUNT(D25)&lt;&gt;1,"Set fare",IF(OR(D25&lt;0,ROUND(D25,2)&lt;&gt;D25),"Check fare","Ready"))))</x:f>
      </x:c>
    </x:row>
    <x:row r="26" ht="28" customHeight="1">
      <x:c r="A26" s="11"/>
      <x:c r="B26" s="11"/>
      <x:c r="C26" s="11"/>
      <x:c r="D26" s="15"/>
      <x:c r="E26" s="11"/>
      <x:c r="F26" s="11"/>
      <x:c r="G26" s="11"/>
      <x:c r="H26" s="11"/>
      <x:c r="I26" s="12" t="str">
        <x:f>IF(A26="","",IF(OR(B26="",C26=""),"Set places",IF(COUNT(D26)&lt;&gt;1,"Set fare",IF(OR(D26&lt;0,ROUND(D26,2)&lt;&gt;D26),"Check fare","Ready"))))</x:f>
      </x:c>
    </x:row>
    <x:row r="27" ht="28" customHeight="1">
      <x:c r="A27" s="11"/>
      <x:c r="B27" s="11"/>
      <x:c r="C27" s="11"/>
      <x:c r="D27" s="15"/>
      <x:c r="E27" s="11"/>
      <x:c r="F27" s="11"/>
      <x:c r="G27" s="11"/>
      <x:c r="H27" s="11"/>
      <x:c r="I27" s="12" t="str">
        <x:f>IF(A27="","",IF(OR(B27="",C27=""),"Set places",IF(COUNT(D27)&lt;&gt;1,"Set fare",IF(OR(D27&lt;0,ROUND(D27,2)&lt;&gt;D27),"Check fare","Ready"))))</x:f>
      </x:c>
    </x:row>
    <x:row r="28" ht="28" customHeight="1">
      <x:c r="A28" s="11"/>
      <x:c r="B28" s="11"/>
      <x:c r="C28" s="11"/>
      <x:c r="D28" s="15"/>
      <x:c r="E28" s="11"/>
      <x:c r="F28" s="11"/>
      <x:c r="G28" s="11"/>
      <x:c r="H28" s="11"/>
      <x:c r="I28" s="12" t="str">
        <x:f>IF(A28="","",IF(OR(B28="",C28=""),"Set places",IF(COUNT(D28)&lt;&gt;1,"Set fare",IF(OR(D28&lt;0,ROUND(D28,2)&lt;&gt;D28),"Check fare","Ready"))))</x:f>
      </x:c>
    </x:row>
    <x:row r="29" ht="28" customHeight="1">
      <x:c r="A29" s="11"/>
      <x:c r="B29" s="11"/>
      <x:c r="C29" s="11"/>
      <x:c r="D29" s="15"/>
      <x:c r="E29" s="11"/>
      <x:c r="F29" s="11"/>
      <x:c r="G29" s="11"/>
      <x:c r="H29" s="11"/>
      <x:c r="I29" s="12" t="str">
        <x:f>IF(A29="","",IF(OR(B29="",C29=""),"Set places",IF(COUNT(D29)&lt;&gt;1,"Set fare",IF(OR(D29&lt;0,ROUND(D29,2)&lt;&gt;D29),"Check fare","Ready"))))</x:f>
      </x:c>
    </x:row>
    <x:row r="30" ht="28" customHeight="1">
      <x:c r="A30" s="11"/>
      <x:c r="B30" s="11"/>
      <x:c r="C30" s="11"/>
      <x:c r="D30" s="15"/>
      <x:c r="E30" s="11"/>
      <x:c r="F30" s="11"/>
      <x:c r="G30" s="11"/>
      <x:c r="H30" s="11"/>
      <x:c r="I30" s="12" t="str">
        <x:f>IF(A30="","",IF(OR(B30="",C30=""),"Set places",IF(COUNT(D30)&lt;&gt;1,"Set fare",IF(OR(D30&lt;0,ROUND(D30,2)&lt;&gt;D30),"Check fare","Ready"))))</x:f>
      </x:c>
    </x:row>
    <x:row r="31" ht="28" customHeight="1">
      <x:c r="A31" s="11"/>
      <x:c r="B31" s="11"/>
      <x:c r="C31" s="11"/>
      <x:c r="D31" s="15"/>
      <x:c r="E31" s="11"/>
      <x:c r="F31" s="11"/>
      <x:c r="G31" s="11"/>
      <x:c r="H31" s="11"/>
      <x:c r="I31" s="12" t="str">
        <x:f>IF(A31="","",IF(OR(B31="",C31=""),"Set places",IF(COUNT(D31)&lt;&gt;1,"Set fare",IF(OR(D31&lt;0,ROUND(D31,2)&lt;&gt;D31),"Check fare","Ready"))))</x:f>
      </x:c>
    </x:row>
    <x:row r="32" ht="28" customHeight="1">
      <x:c r="A32" s="11"/>
      <x:c r="B32" s="11"/>
      <x:c r="C32" s="11"/>
      <x:c r="D32" s="15"/>
      <x:c r="E32" s="11"/>
      <x:c r="F32" s="11"/>
      <x:c r="G32" s="11"/>
      <x:c r="H32" s="11"/>
      <x:c r="I32" s="12" t="str">
        <x:f>IF(A32="","",IF(OR(B32="",C32=""),"Set places",IF(COUNT(D32)&lt;&gt;1,"Set fare",IF(OR(D32&lt;0,ROUND(D32,2)&lt;&gt;D32),"Check fare","Ready"))))</x:f>
      </x:c>
    </x:row>
    <x:row r="33" ht="28" customHeight="1">
      <x:c r="A33" s="11"/>
      <x:c r="B33" s="11"/>
      <x:c r="C33" s="11"/>
      <x:c r="D33" s="15"/>
      <x:c r="E33" s="11"/>
      <x:c r="F33" s="11"/>
      <x:c r="G33" s="11"/>
      <x:c r="H33" s="11"/>
      <x:c r="I33" s="12" t="str">
        <x:f>IF(A33="","",IF(OR(B33="",C33=""),"Set places",IF(COUNT(D33)&lt;&gt;1,"Set fare",IF(OR(D33&lt;0,ROUND(D33,2)&lt;&gt;D33),"Check fare","Ready"))))</x:f>
      </x:c>
    </x:row>
    <x:row r="34" ht="28" customHeight="1">
      <x:c r="A34" s="11"/>
      <x:c r="B34" s="11"/>
      <x:c r="C34" s="11"/>
      <x:c r="D34" s="15"/>
      <x:c r="E34" s="11"/>
      <x:c r="F34" s="11"/>
      <x:c r="G34" s="11"/>
      <x:c r="H34" s="11"/>
      <x:c r="I34" s="12" t="str">
        <x:f>IF(A34="","",IF(OR(B34="",C34=""),"Set places",IF(COUNT(D34)&lt;&gt;1,"Set fare",IF(OR(D34&lt;0,ROUND(D34,2)&lt;&gt;D34),"Check fare","Ready"))))</x:f>
      </x:c>
    </x:row>
    <x:row r="35" ht="28" customHeight="1">
      <x:c r="A35" s="11"/>
      <x:c r="B35" s="11"/>
      <x:c r="C35" s="11"/>
      <x:c r="D35" s="15"/>
      <x:c r="E35" s="11"/>
      <x:c r="F35" s="11"/>
      <x:c r="G35" s="11"/>
      <x:c r="H35" s="11"/>
      <x:c r="I35" s="12" t="str">
        <x:f>IF(A35="","",IF(OR(B35="",C35=""),"Set places",IF(COUNT(D35)&lt;&gt;1,"Set fare",IF(OR(D35&lt;0,ROUND(D35,2)&lt;&gt;D35),"Check fare","Ready"))))</x:f>
      </x:c>
    </x:row>
    <x:row r="36" ht="28" customHeight="1">
      <x:c r="A36" s="11"/>
      <x:c r="B36" s="11"/>
      <x:c r="C36" s="11"/>
      <x:c r="D36" s="15"/>
      <x:c r="E36" s="11"/>
      <x:c r="F36" s="11"/>
      <x:c r="G36" s="11"/>
      <x:c r="H36" s="11"/>
      <x:c r="I36" s="12" t="str">
        <x:f>IF(A36="","",IF(OR(B36="",C36=""),"Set places",IF(COUNT(D36)&lt;&gt;1,"Set fare",IF(OR(D36&lt;0,ROUND(D36,2)&lt;&gt;D36),"Check fare","Ready"))))</x:f>
      </x:c>
    </x:row>
    <x:row r="37" ht="28" customHeight="1">
      <x:c r="A37" s="11"/>
      <x:c r="B37" s="11"/>
      <x:c r="C37" s="11"/>
      <x:c r="D37" s="15"/>
      <x:c r="E37" s="11"/>
      <x:c r="F37" s="11"/>
      <x:c r="G37" s="11"/>
      <x:c r="H37" s="11"/>
      <x:c r="I37" s="12" t="str">
        <x:f>IF(A37="","",IF(OR(B37="",C37=""),"Set places",IF(COUNT(D37)&lt;&gt;1,"Set fare",IF(OR(D37&lt;0,ROUND(D37,2)&lt;&gt;D37),"Check fare","Ready"))))</x:f>
      </x:c>
    </x:row>
    <x:row r="38" ht="28" customHeight="1">
      <x:c r="A38" s="11"/>
      <x:c r="B38" s="11"/>
      <x:c r="C38" s="11"/>
      <x:c r="D38" s="15"/>
      <x:c r="E38" s="11"/>
      <x:c r="F38" s="11"/>
      <x:c r="G38" s="11"/>
      <x:c r="H38" s="11"/>
      <x:c r="I38" s="12" t="str">
        <x:f>IF(A38="","",IF(OR(B38="",C38=""),"Set places",IF(COUNT(D38)&lt;&gt;1,"Set fare",IF(OR(D38&lt;0,ROUND(D38,2)&lt;&gt;D38),"Check fare","Ready"))))</x:f>
      </x:c>
    </x:row>
    <x:row r="39" ht="28" customHeight="1">
      <x:c r="A39" s="11"/>
      <x:c r="B39" s="11"/>
      <x:c r="C39" s="11"/>
      <x:c r="D39" s="15"/>
      <x:c r="E39" s="11"/>
      <x:c r="F39" s="11"/>
      <x:c r="G39" s="11"/>
      <x:c r="H39" s="11"/>
      <x:c r="I39" s="12" t="str">
        <x:f>IF(A39="","",IF(OR(B39="",C39=""),"Set places",IF(COUNT(D39)&lt;&gt;1,"Set fare",IF(OR(D39&lt;0,ROUND(D39,2)&lt;&gt;D39),"Check fare","Ready"))))</x:f>
      </x:c>
    </x:row>
    <x:row r="40" ht="28" customHeight="1">
      <x:c r="A40" s="11"/>
      <x:c r="B40" s="11"/>
      <x:c r="C40" s="11"/>
      <x:c r="D40" s="15"/>
      <x:c r="E40" s="11"/>
      <x:c r="F40" s="11"/>
      <x:c r="G40" s="11"/>
      <x:c r="H40" s="11"/>
      <x:c r="I40" s="12" t="str">
        <x:f>IF(A40="","",IF(OR(B40="",C40=""),"Set places",IF(COUNT(D40)&lt;&gt;1,"Set fare",IF(OR(D40&lt;0,ROUND(D40,2)&lt;&gt;D40),"Check fare","Ready"))))</x:f>
      </x:c>
    </x:row>
    <x:row r="41" ht="28" customHeight="1">
      <x:c r="A41" s="11"/>
      <x:c r="B41" s="11"/>
      <x:c r="C41" s="11"/>
      <x:c r="D41" s="15"/>
      <x:c r="E41" s="11"/>
      <x:c r="F41" s="11"/>
      <x:c r="G41" s="11"/>
      <x:c r="H41" s="11"/>
      <x:c r="I41" s="12" t="str">
        <x:f>IF(A41="","",IF(OR(B41="",C41=""),"Set places",IF(COUNT(D41)&lt;&gt;1,"Set fare",IF(OR(D41&lt;0,ROUND(D41,2)&lt;&gt;D41),"Check fare","Ready"))))</x:f>
      </x:c>
    </x:row>
    <x:row r="42" ht="28" customHeight="1">
      <x:c r="A42" s="11"/>
      <x:c r="B42" s="11"/>
      <x:c r="C42" s="11"/>
      <x:c r="D42" s="15"/>
      <x:c r="E42" s="11"/>
      <x:c r="F42" s="11"/>
      <x:c r="G42" s="11"/>
      <x:c r="H42" s="11"/>
      <x:c r="I42" s="12" t="str">
        <x:f>IF(A42="","",IF(OR(B42="",C42=""),"Set places",IF(COUNT(D42)&lt;&gt;1,"Set fare",IF(OR(D42&lt;0,ROUND(D42,2)&lt;&gt;D42),"Check fare","Ready"))))</x:f>
      </x:c>
    </x:row>
    <x:row r="43" ht="28" customHeight="1">
      <x:c r="A43" s="11"/>
      <x:c r="B43" s="11"/>
      <x:c r="C43" s="11"/>
      <x:c r="D43" s="15"/>
      <x:c r="E43" s="11"/>
      <x:c r="F43" s="11"/>
      <x:c r="G43" s="11"/>
      <x:c r="H43" s="11"/>
      <x:c r="I43" s="12" t="str">
        <x:f>IF(A43="","",IF(OR(B43="",C43=""),"Set places",IF(COUNT(D43)&lt;&gt;1,"Set fare",IF(OR(D43&lt;0,ROUND(D43,2)&lt;&gt;D43),"Check fare","Ready"))))</x:f>
      </x:c>
    </x:row>
    <x:row r="44" ht="28" customHeight="1">
      <x:c r="A44" s="11"/>
      <x:c r="B44" s="11"/>
      <x:c r="C44" s="11"/>
      <x:c r="D44" s="15"/>
      <x:c r="E44" s="11"/>
      <x:c r="F44" s="11"/>
      <x:c r="G44" s="11"/>
      <x:c r="H44" s="11"/>
      <x:c r="I44" s="12" t="str">
        <x:f>IF(A44="","",IF(OR(B44="",C44=""),"Set places",IF(COUNT(D44)&lt;&gt;1,"Set fare",IF(OR(D44&lt;0,ROUND(D44,2)&lt;&gt;D44),"Check fare","Ready"))))</x:f>
      </x:c>
    </x:row>
    <x:row r="45" ht="28" customHeight="1">
      <x:c r="A45" s="11"/>
      <x:c r="B45" s="11"/>
      <x:c r="C45" s="11"/>
      <x:c r="D45" s="15"/>
      <x:c r="E45" s="11"/>
      <x:c r="F45" s="11"/>
      <x:c r="G45" s="11"/>
      <x:c r="H45" s="11"/>
      <x:c r="I45" s="12" t="str">
        <x:f>IF(A45="","",IF(OR(B45="",C45=""),"Set places",IF(COUNT(D45)&lt;&gt;1,"Set fare",IF(OR(D45&lt;0,ROUND(D45,2)&lt;&gt;D45),"Check fare","Ready"))))</x:f>
      </x:c>
    </x:row>
    <x:row r="46" ht="28" customHeight="1">
      <x:c r="A46" s="11"/>
      <x:c r="B46" s="11"/>
      <x:c r="C46" s="11"/>
      <x:c r="D46" s="15"/>
      <x:c r="E46" s="11"/>
      <x:c r="F46" s="11"/>
      <x:c r="G46" s="11"/>
      <x:c r="H46" s="11"/>
      <x:c r="I46" s="12" t="str">
        <x:f>IF(A46="","",IF(OR(B46="",C46=""),"Set places",IF(COUNT(D46)&lt;&gt;1,"Set fare",IF(OR(D46&lt;0,ROUND(D46,2)&lt;&gt;D46),"Check fare","Ready"))))</x:f>
      </x:c>
    </x:row>
    <x:row r="47" ht="28" customHeight="1">
      <x:c r="A47" s="11"/>
      <x:c r="B47" s="11"/>
      <x:c r="C47" s="11"/>
      <x:c r="D47" s="15"/>
      <x:c r="E47" s="11"/>
      <x:c r="F47" s="11"/>
      <x:c r="G47" s="11"/>
      <x:c r="H47" s="11"/>
      <x:c r="I47" s="12" t="str">
        <x:f>IF(A47="","",IF(OR(B47="",C47=""),"Set places",IF(COUNT(D47)&lt;&gt;1,"Set fare",IF(OR(D47&lt;0,ROUND(D47,2)&lt;&gt;D47),"Check fare","Ready"))))</x:f>
      </x:c>
    </x:row>
    <x:row r="48" ht="28" customHeight="1">
      <x:c r="A48" s="11"/>
      <x:c r="B48" s="11"/>
      <x:c r="C48" s="11"/>
      <x:c r="D48" s="15"/>
      <x:c r="E48" s="11"/>
      <x:c r="F48" s="11"/>
      <x:c r="G48" s="11"/>
      <x:c r="H48" s="11"/>
      <x:c r="I48" s="12" t="str">
        <x:f>IF(A48="","",IF(OR(B48="",C48=""),"Set places",IF(COUNT(D48)&lt;&gt;1,"Set fare",IF(OR(D48&lt;0,ROUND(D48,2)&lt;&gt;D48),"Check fare","Ready"))))</x:f>
      </x:c>
    </x:row>
    <x:row r="49" ht="28" customHeight="1">
      <x:c r="A49" s="11"/>
      <x:c r="B49" s="11"/>
      <x:c r="C49" s="11"/>
      <x:c r="D49" s="15"/>
      <x:c r="E49" s="11"/>
      <x:c r="F49" s="11"/>
      <x:c r="G49" s="11"/>
      <x:c r="H49" s="11"/>
      <x:c r="I49" s="12" t="str">
        <x:f>IF(A49="","",IF(OR(B49="",C49=""),"Set places",IF(COUNT(D49)&lt;&gt;1,"Set fare",IF(OR(D49&lt;0,ROUND(D49,2)&lt;&gt;D49),"Check fare","Ready"))))</x:f>
      </x:c>
    </x:row>
    <x:row r="50" ht="28" customHeight="1">
      <x:c r="A50" s="11"/>
      <x:c r="B50" s="11"/>
      <x:c r="C50" s="11"/>
      <x:c r="D50" s="15"/>
      <x:c r="E50" s="11"/>
      <x:c r="F50" s="11"/>
      <x:c r="G50" s="11"/>
      <x:c r="H50" s="11"/>
      <x:c r="I50" s="12" t="str">
        <x:f>IF(A50="","",IF(OR(B50="",C50=""),"Set places",IF(COUNT(D50)&lt;&gt;1,"Set fare",IF(OR(D50&lt;0,ROUND(D50,2)&lt;&gt;D50),"Check fare","Ready"))))</x:f>
      </x:c>
    </x:row>
    <x:row r="51" ht="28" customHeight="1">
      <x:c r="A51" s="11"/>
      <x:c r="B51" s="11"/>
      <x:c r="C51" s="11"/>
      <x:c r="D51" s="15"/>
      <x:c r="E51" s="11"/>
      <x:c r="F51" s="11"/>
      <x:c r="G51" s="11"/>
      <x:c r="H51" s="11"/>
      <x:c r="I51" s="12" t="str">
        <x:f>IF(A51="","",IF(OR(B51="",C51=""),"Set places",IF(COUNT(D51)&lt;&gt;1,"Set fare",IF(OR(D51&lt;0,ROUND(D51,2)&lt;&gt;D51),"Check fare","Ready"))))</x:f>
      </x:c>
    </x:row>
    <x:row r="52" ht="28" customHeight="1">
      <x:c r="A52" s="11"/>
      <x:c r="B52" s="11"/>
      <x:c r="C52" s="11"/>
      <x:c r="D52" s="15"/>
      <x:c r="E52" s="11"/>
      <x:c r="F52" s="11"/>
      <x:c r="G52" s="11"/>
      <x:c r="H52" s="11"/>
      <x:c r="I52" s="12" t="str">
        <x:f>IF(A52="","",IF(OR(B52="",C52=""),"Set places",IF(COUNT(D52)&lt;&gt;1,"Set fare",IF(OR(D52&lt;0,ROUND(D52,2)&lt;&gt;D52),"Check fare","Ready"))))</x:f>
      </x:c>
    </x:row>
    <x:row r="53" ht="28" customHeight="1">
      <x:c r="A53" s="11"/>
      <x:c r="B53" s="11"/>
      <x:c r="C53" s="11"/>
      <x:c r="D53" s="15"/>
      <x:c r="E53" s="11"/>
      <x:c r="F53" s="11"/>
      <x:c r="G53" s="11"/>
      <x:c r="H53" s="11"/>
      <x:c r="I53" s="12" t="str">
        <x:f>IF(A53="","",IF(OR(B53="",C53=""),"Set places",IF(COUNT(D53)&lt;&gt;1,"Set fare",IF(OR(D53&lt;0,ROUND(D53,2)&lt;&gt;D53),"Check fare","Ready"))))</x:f>
      </x:c>
    </x:row>
    <x:row r="54" ht="28" customHeight="1">
      <x:c r="A54" s="11"/>
      <x:c r="B54" s="11"/>
      <x:c r="C54" s="11"/>
      <x:c r="D54" s="15"/>
      <x:c r="E54" s="11"/>
      <x:c r="F54" s="11"/>
      <x:c r="G54" s="11"/>
      <x:c r="H54" s="11"/>
      <x:c r="I54" s="12" t="str">
        <x:f>IF(A54="","",IF(OR(B54="",C54=""),"Set places",IF(COUNT(D54)&lt;&gt;1,"Set fare",IF(OR(D54&lt;0,ROUND(D54,2)&lt;&gt;D54),"Check fare","Ready"))))</x:f>
      </x:c>
    </x:row>
    <x:row r="55" ht="28" customHeight="1">
      <x:c r="A55" s="11"/>
      <x:c r="B55" s="11"/>
      <x:c r="C55" s="11"/>
      <x:c r="D55" s="15"/>
      <x:c r="E55" s="11"/>
      <x:c r="F55" s="11"/>
      <x:c r="G55" s="11"/>
      <x:c r="H55" s="11"/>
      <x:c r="I55" s="12" t="str">
        <x:f>IF(A55="","",IF(OR(B55="",C55=""),"Set places",IF(COUNT(D55)&lt;&gt;1,"Set fare",IF(OR(D55&lt;0,ROUND(D55,2)&lt;&gt;D55),"Check fare","Ready"))))</x:f>
      </x:c>
    </x:row>
    <x:row r="56" ht="28" customHeight="1">
      <x:c r="A56" s="11"/>
      <x:c r="B56" s="11"/>
      <x:c r="C56" s="11"/>
      <x:c r="D56" s="15"/>
      <x:c r="E56" s="11"/>
      <x:c r="F56" s="11"/>
      <x:c r="G56" s="11"/>
      <x:c r="H56" s="11"/>
      <x:c r="I56" s="12" t="str">
        <x:f>IF(A56="","",IF(OR(B56="",C56=""),"Set places",IF(COUNT(D56)&lt;&gt;1,"Set fare",IF(OR(D56&lt;0,ROUND(D56,2)&lt;&gt;D56),"Check fare","Ready"))))</x:f>
      </x:c>
    </x:row>
    <x:row r="57" ht="28" customHeight="1">
      <x:c r="A57" s="11"/>
      <x:c r="B57" s="11"/>
      <x:c r="C57" s="11"/>
      <x:c r="D57" s="15"/>
      <x:c r="E57" s="11"/>
      <x:c r="F57" s="11"/>
      <x:c r="G57" s="11"/>
      <x:c r="H57" s="11"/>
      <x:c r="I57" s="12" t="str">
        <x:f>IF(A57="","",IF(OR(B57="",C57=""),"Set places",IF(COUNT(D57)&lt;&gt;1,"Set fare",IF(OR(D57&lt;0,ROUND(D57,2)&lt;&gt;D57),"Check fare","Ready"))))</x:f>
      </x:c>
    </x:row>
    <x:row r="58" ht="28" customHeight="1">
      <x:c r="A58" s="11"/>
      <x:c r="B58" s="11"/>
      <x:c r="C58" s="11"/>
      <x:c r="D58" s="15"/>
      <x:c r="E58" s="11"/>
      <x:c r="F58" s="11"/>
      <x:c r="G58" s="11"/>
      <x:c r="H58" s="11"/>
      <x:c r="I58" s="12" t="str">
        <x:f>IF(A58="","",IF(OR(B58="",C58=""),"Set places",IF(COUNT(D58)&lt;&gt;1,"Set fare",IF(OR(D58&lt;0,ROUND(D58,2)&lt;&gt;D58),"Check fare","Ready"))))</x:f>
      </x:c>
    </x:row>
    <x:row r="59" ht="28" customHeight="1">
      <x:c r="A59" s="11"/>
      <x:c r="B59" s="11"/>
      <x:c r="C59" s="11"/>
      <x:c r="D59" s="15"/>
      <x:c r="E59" s="11"/>
      <x:c r="F59" s="11"/>
      <x:c r="G59" s="11"/>
      <x:c r="H59" s="11"/>
      <x:c r="I59" s="12" t="str">
        <x:f>IF(A59="","",IF(OR(B59="",C59=""),"Set places",IF(COUNT(D59)&lt;&gt;1,"Set fare",IF(OR(D59&lt;0,ROUND(D59,2)&lt;&gt;D59),"Check fare","Ready"))))</x:f>
      </x:c>
    </x:row>
    <x:row r="60" ht="28" customHeight="1">
      <x:c r="A60" s="11"/>
      <x:c r="B60" s="11"/>
      <x:c r="C60" s="11"/>
      <x:c r="D60" s="15"/>
      <x:c r="E60" s="11"/>
      <x:c r="F60" s="11"/>
      <x:c r="G60" s="11"/>
      <x:c r="H60" s="11"/>
      <x:c r="I60" s="12" t="str">
        <x:f>IF(A60="","",IF(OR(B60="",C60=""),"Set places",IF(COUNT(D60)&lt;&gt;1,"Set fare",IF(OR(D60&lt;0,ROUND(D60,2)&lt;&gt;D60),"Check fare","Ready"))))</x:f>
      </x:c>
    </x:row>
    <x:row r="61" ht="28" customHeight="1">
      <x:c r="A61" s="11"/>
      <x:c r="B61" s="11"/>
      <x:c r="C61" s="11"/>
      <x:c r="D61" s="15"/>
      <x:c r="E61" s="11"/>
      <x:c r="F61" s="11"/>
      <x:c r="G61" s="11"/>
      <x:c r="H61" s="11"/>
      <x:c r="I61" s="12" t="str">
        <x:f>IF(A61="","",IF(OR(B61="",C61=""),"Set places",IF(COUNT(D61)&lt;&gt;1,"Set fare",IF(OR(D61&lt;0,ROUND(D61,2)&lt;&gt;D61),"Check fare","Ready"))))</x:f>
      </x:c>
    </x:row>
    <x:row r="62" ht="28" customHeight="1">
      <x:c r="A62" s="11"/>
      <x:c r="B62" s="11"/>
      <x:c r="C62" s="11"/>
      <x:c r="D62" s="15"/>
      <x:c r="E62" s="11"/>
      <x:c r="F62" s="11"/>
      <x:c r="G62" s="11"/>
      <x:c r="H62" s="11"/>
      <x:c r="I62" s="12" t="str">
        <x:f>IF(A62="","",IF(OR(B62="",C62=""),"Set places",IF(COUNT(D62)&lt;&gt;1,"Set fare",IF(OR(D62&lt;0,ROUND(D62,2)&lt;&gt;D62),"Check fare","Ready"))))</x:f>
      </x:c>
    </x:row>
    <x:row r="63" ht="28" customHeight="1">
      <x:c r="A63" s="11"/>
      <x:c r="B63" s="11"/>
      <x:c r="C63" s="11"/>
      <x:c r="D63" s="15"/>
      <x:c r="E63" s="11"/>
      <x:c r="F63" s="11"/>
      <x:c r="G63" s="11"/>
      <x:c r="H63" s="11"/>
      <x:c r="I63" s="12" t="str">
        <x:f>IF(A63="","",IF(OR(B63="",C63=""),"Set places",IF(COUNT(D63)&lt;&gt;1,"Set fare",IF(OR(D63&lt;0,ROUND(D63,2)&lt;&gt;D63),"Check fare","Ready"))))</x:f>
      </x:c>
    </x:row>
    <x:row r="64" ht="28" customHeight="1">
      <x:c r="A64" s="11"/>
      <x:c r="B64" s="11"/>
      <x:c r="C64" s="11"/>
      <x:c r="D64" s="15"/>
      <x:c r="E64" s="11"/>
      <x:c r="F64" s="11"/>
      <x:c r="G64" s="11"/>
      <x:c r="H64" s="11"/>
      <x:c r="I64" s="12" t="str">
        <x:f>IF(A64="","",IF(OR(B64="",C64=""),"Set places",IF(COUNT(D64)&lt;&gt;1,"Set fare",IF(OR(D64&lt;0,ROUND(D64,2)&lt;&gt;D64),"Check fare","Ready"))))</x:f>
      </x:c>
    </x:row>
    <x:row r="65" ht="28" customHeight="1">
      <x:c r="A65" s="11"/>
      <x:c r="B65" s="11"/>
      <x:c r="C65" s="11"/>
      <x:c r="D65" s="15"/>
      <x:c r="E65" s="11"/>
      <x:c r="F65" s="11"/>
      <x:c r="G65" s="11"/>
      <x:c r="H65" s="11"/>
      <x:c r="I65" s="12" t="str">
        <x:f>IF(A65="","",IF(OR(B65="",C65=""),"Set places",IF(COUNT(D65)&lt;&gt;1,"Set fare",IF(OR(D65&lt;0,ROUND(D65,2)&lt;&gt;D65),"Check fare","Ready"))))</x:f>
      </x:c>
    </x:row>
    <x:row r="66" ht="28" customHeight="1">
      <x:c r="A66" s="11"/>
      <x:c r="B66" s="11"/>
      <x:c r="C66" s="11"/>
      <x:c r="D66" s="15"/>
      <x:c r="E66" s="11"/>
      <x:c r="F66" s="11"/>
      <x:c r="G66" s="11"/>
      <x:c r="H66" s="11"/>
      <x:c r="I66" s="12" t="str">
        <x:f>IF(A66="","",IF(OR(B66="",C66=""),"Set places",IF(COUNT(D66)&lt;&gt;1,"Set fare",IF(OR(D66&lt;0,ROUND(D66,2)&lt;&gt;D66),"Check fare","Ready"))))</x:f>
      </x:c>
    </x:row>
    <x:row r="67" ht="28" customHeight="1">
      <x:c r="A67" s="11"/>
      <x:c r="B67" s="11"/>
      <x:c r="C67" s="11"/>
      <x:c r="D67" s="15"/>
      <x:c r="E67" s="11"/>
      <x:c r="F67" s="11"/>
      <x:c r="G67" s="11"/>
      <x:c r="H67" s="11"/>
      <x:c r="I67" s="12" t="str">
        <x:f>IF(A67="","",IF(OR(B67="",C67=""),"Set places",IF(COUNT(D67)&lt;&gt;1,"Set fare",IF(OR(D67&lt;0,ROUND(D67,2)&lt;&gt;D67),"Check fare","Ready"))))</x:f>
      </x:c>
    </x:row>
    <x:row r="68" ht="28" customHeight="1">
      <x:c r="A68" s="11"/>
      <x:c r="B68" s="11"/>
      <x:c r="C68" s="11"/>
      <x:c r="D68" s="15"/>
      <x:c r="E68" s="11"/>
      <x:c r="F68" s="11"/>
      <x:c r="G68" s="11"/>
      <x:c r="H68" s="11"/>
      <x:c r="I68" s="12" t="str">
        <x:f>IF(A68="","",IF(OR(B68="",C68=""),"Set places",IF(COUNT(D68)&lt;&gt;1,"Set fare",IF(OR(D68&lt;0,ROUND(D68,2)&lt;&gt;D68),"Check fare","Ready"))))</x:f>
      </x:c>
    </x:row>
    <x:row r="69" ht="28" customHeight="1">
      <x:c r="A69" s="11"/>
      <x:c r="B69" s="11"/>
      <x:c r="C69" s="11"/>
      <x:c r="D69" s="15"/>
      <x:c r="E69" s="11"/>
      <x:c r="F69" s="11"/>
      <x:c r="G69" s="11"/>
      <x:c r="H69" s="11"/>
      <x:c r="I69" s="12" t="str">
        <x:f>IF(A69="","",IF(OR(B69="",C69=""),"Set places",IF(COUNT(D69)&lt;&gt;1,"Set fare",IF(OR(D69&lt;0,ROUND(D69,2)&lt;&gt;D69),"Check fare","Ready"))))</x:f>
      </x:c>
    </x:row>
    <x:row r="70" ht="28" customHeight="1">
      <x:c r="A70" s="11"/>
      <x:c r="B70" s="11"/>
      <x:c r="C70" s="11"/>
      <x:c r="D70" s="15"/>
      <x:c r="E70" s="11"/>
      <x:c r="F70" s="11"/>
      <x:c r="G70" s="11"/>
      <x:c r="H70" s="11"/>
      <x:c r="I70" s="12" t="str">
        <x:f>IF(A70="","",IF(OR(B70="",C70=""),"Set places",IF(COUNT(D70)&lt;&gt;1,"Set fare",IF(OR(D70&lt;0,ROUND(D70,2)&lt;&gt;D70),"Check fare","Ready"))))</x:f>
      </x:c>
    </x:row>
    <x:row r="71" ht="28" customHeight="1">
      <x:c r="A71" s="11"/>
      <x:c r="B71" s="11"/>
      <x:c r="C71" s="11"/>
      <x:c r="D71" s="15"/>
      <x:c r="E71" s="11"/>
      <x:c r="F71" s="11"/>
      <x:c r="G71" s="11"/>
      <x:c r="H71" s="11"/>
      <x:c r="I71" s="12" t="str">
        <x:f>IF(A71="","",IF(OR(B71="",C71=""),"Set places",IF(COUNT(D71)&lt;&gt;1,"Set fare",IF(OR(D71&lt;0,ROUND(D71,2)&lt;&gt;D71),"Check fare","Ready"))))</x:f>
      </x:c>
    </x:row>
    <x:row r="72" ht="28" customHeight="1">
      <x:c r="A72" s="11"/>
      <x:c r="B72" s="11"/>
      <x:c r="C72" s="11"/>
      <x:c r="D72" s="15"/>
      <x:c r="E72" s="11"/>
      <x:c r="F72" s="11"/>
      <x:c r="G72" s="11"/>
      <x:c r="H72" s="11"/>
      <x:c r="I72" s="12" t="str">
        <x:f>IF(A72="","",IF(OR(B72="",C72=""),"Set places",IF(COUNT(D72)&lt;&gt;1,"Set fare",IF(OR(D72&lt;0,ROUND(D72,2)&lt;&gt;D72),"Check fare","Ready"))))</x:f>
      </x:c>
    </x:row>
    <x:row r="73" ht="28" customHeight="1">
      <x:c r="A73" s="11"/>
      <x:c r="B73" s="11"/>
      <x:c r="C73" s="11"/>
      <x:c r="D73" s="15"/>
      <x:c r="E73" s="11"/>
      <x:c r="F73" s="11"/>
      <x:c r="G73" s="11"/>
      <x:c r="H73" s="11"/>
      <x:c r="I73" s="12" t="str">
        <x:f>IF(A73="","",IF(OR(B73="",C73=""),"Set places",IF(COUNT(D73)&lt;&gt;1,"Set fare",IF(OR(D73&lt;0,ROUND(D73,2)&lt;&gt;D73),"Check fare","Ready"))))</x:f>
      </x:c>
    </x:row>
    <x:row r="74" ht="28" customHeight="1">
      <x:c r="A74" s="11"/>
      <x:c r="B74" s="11"/>
      <x:c r="C74" s="11"/>
      <x:c r="D74" s="15"/>
      <x:c r="E74" s="11"/>
      <x:c r="F74" s="11"/>
      <x:c r="G74" s="11"/>
      <x:c r="H74" s="11"/>
      <x:c r="I74" s="12" t="str">
        <x:f>IF(A74="","",IF(OR(B74="",C74=""),"Set places",IF(COUNT(D74)&lt;&gt;1,"Set fare",IF(OR(D74&lt;0,ROUND(D74,2)&lt;&gt;D74),"Check fare","Ready"))))</x:f>
      </x:c>
    </x:row>
    <x:row r="75" ht="28" customHeight="1">
      <x:c r="A75" s="11"/>
      <x:c r="B75" s="11"/>
      <x:c r="C75" s="11"/>
      <x:c r="D75" s="15"/>
      <x:c r="E75" s="11"/>
      <x:c r="F75" s="11"/>
      <x:c r="G75" s="11"/>
      <x:c r="H75" s="11"/>
      <x:c r="I75" s="12" t="str">
        <x:f>IF(A75="","",IF(OR(B75="",C75=""),"Set places",IF(COUNT(D75)&lt;&gt;1,"Set fare",IF(OR(D75&lt;0,ROUND(D75,2)&lt;&gt;D75),"Check fare","Ready"))))</x:f>
      </x:c>
    </x:row>
    <x:row r="76" ht="28" customHeight="1">
      <x:c r="A76" s="11"/>
      <x:c r="B76" s="11"/>
      <x:c r="C76" s="11"/>
      <x:c r="D76" s="15"/>
      <x:c r="E76" s="11"/>
      <x:c r="F76" s="11"/>
      <x:c r="G76" s="11"/>
      <x:c r="H76" s="11"/>
      <x:c r="I76" s="12" t="str">
        <x:f>IF(A76="","",IF(OR(B76="",C76=""),"Set places",IF(COUNT(D76)&lt;&gt;1,"Set fare",IF(OR(D76&lt;0,ROUND(D76,2)&lt;&gt;D76),"Check fare","Ready"))))</x:f>
      </x:c>
    </x:row>
    <x:row r="77" ht="28" customHeight="1">
      <x:c r="A77" s="11"/>
      <x:c r="B77" s="11"/>
      <x:c r="C77" s="11"/>
      <x:c r="D77" s="15"/>
      <x:c r="E77" s="11"/>
      <x:c r="F77" s="11"/>
      <x:c r="G77" s="11"/>
      <x:c r="H77" s="11"/>
      <x:c r="I77" s="12" t="str">
        <x:f>IF(A77="","",IF(OR(B77="",C77=""),"Set places",IF(COUNT(D77)&lt;&gt;1,"Set fare",IF(OR(D77&lt;0,ROUND(D77,2)&lt;&gt;D77),"Check fare","Ready"))))</x:f>
      </x:c>
    </x:row>
    <x:row r="78" ht="28" customHeight="1">
      <x:c r="A78" s="11"/>
      <x:c r="B78" s="11"/>
      <x:c r="C78" s="11"/>
      <x:c r="D78" s="15"/>
      <x:c r="E78" s="11"/>
      <x:c r="F78" s="11"/>
      <x:c r="G78" s="11"/>
      <x:c r="H78" s="11"/>
      <x:c r="I78" s="12" t="str">
        <x:f>IF(A78="","",IF(OR(B78="",C78=""),"Set places",IF(COUNT(D78)&lt;&gt;1,"Set fare",IF(OR(D78&lt;0,ROUND(D78,2)&lt;&gt;D78),"Check fare","Ready"))))</x:f>
      </x:c>
    </x:row>
    <x:row r="79" ht="28" customHeight="1">
      <x:c r="A79" s="11"/>
      <x:c r="B79" s="11"/>
      <x:c r="C79" s="11"/>
      <x:c r="D79" s="15"/>
      <x:c r="E79" s="11"/>
      <x:c r="F79" s="11"/>
      <x:c r="G79" s="11"/>
      <x:c r="H79" s="11"/>
      <x:c r="I79" s="12" t="str">
        <x:f>IF(A79="","",IF(OR(B79="",C79=""),"Set places",IF(COUNT(D79)&lt;&gt;1,"Set fare",IF(OR(D79&lt;0,ROUND(D79,2)&lt;&gt;D79),"Check fare","Ready"))))</x:f>
      </x:c>
    </x:row>
    <x:row r="80" ht="28" customHeight="1">
      <x:c r="A80" s="11"/>
      <x:c r="B80" s="11"/>
      <x:c r="C80" s="11"/>
      <x:c r="D80" s="15"/>
      <x:c r="E80" s="11"/>
      <x:c r="F80" s="11"/>
      <x:c r="G80" s="11"/>
      <x:c r="H80" s="11"/>
      <x:c r="I80" s="12" t="str">
        <x:f>IF(A80="","",IF(OR(B80="",C80=""),"Set places",IF(COUNT(D80)&lt;&gt;1,"Set fare",IF(OR(D80&lt;0,ROUND(D80,2)&lt;&gt;D80),"Check fare","Ready"))))</x:f>
      </x:c>
    </x:row>
    <x:row r="81" ht="28" customHeight="1">
      <x:c r="A81" s="11"/>
      <x:c r="B81" s="11"/>
      <x:c r="C81" s="11"/>
      <x:c r="D81" s="15"/>
      <x:c r="E81" s="11"/>
      <x:c r="F81" s="11"/>
      <x:c r="G81" s="11"/>
      <x:c r="H81" s="11"/>
      <x:c r="I81" s="12" t="str">
        <x:f>IF(A81="","",IF(OR(B81="",C81=""),"Set places",IF(COUNT(D81)&lt;&gt;1,"Set fare",IF(OR(D81&lt;0,ROUND(D81,2)&lt;&gt;D81),"Check fare","Ready"))))</x:f>
      </x:c>
    </x:row>
    <x:row r="82" ht="28" customHeight="1">
      <x:c r="A82" s="11"/>
      <x:c r="B82" s="11"/>
      <x:c r="C82" s="11"/>
      <x:c r="D82" s="15"/>
      <x:c r="E82" s="11"/>
      <x:c r="F82" s="11"/>
      <x:c r="G82" s="11"/>
      <x:c r="H82" s="11"/>
      <x:c r="I82" s="12" t="str">
        <x:f>IF(A82="","",IF(OR(B82="",C82=""),"Set places",IF(COUNT(D82)&lt;&gt;1,"Set fare",IF(OR(D82&lt;0,ROUND(D82,2)&lt;&gt;D82),"Check fare","Ready"))))</x:f>
      </x:c>
    </x:row>
    <x:row r="83" ht="28" customHeight="1">
      <x:c r="A83" s="11"/>
      <x:c r="B83" s="11"/>
      <x:c r="C83" s="11"/>
      <x:c r="D83" s="15"/>
      <x:c r="E83" s="11"/>
      <x:c r="F83" s="11"/>
      <x:c r="G83" s="11"/>
      <x:c r="H83" s="11"/>
      <x:c r="I83" s="12" t="str">
        <x:f>IF(A83="","",IF(OR(B83="",C83=""),"Set places",IF(COUNT(D83)&lt;&gt;1,"Set fare",IF(OR(D83&lt;0,ROUND(D83,2)&lt;&gt;D83),"Check fare","Ready"))))</x:f>
      </x:c>
    </x:row>
    <x:row r="84" ht="28" customHeight="1">
      <x:c r="A84" s="11"/>
      <x:c r="B84" s="11"/>
      <x:c r="C84" s="11"/>
      <x:c r="D84" s="15"/>
      <x:c r="E84" s="11"/>
      <x:c r="F84" s="11"/>
      <x:c r="G84" s="11"/>
      <x:c r="H84" s="11"/>
      <x:c r="I84" s="12" t="str">
        <x:f>IF(A84="","",IF(OR(B84="",C84=""),"Set places",IF(COUNT(D84)&lt;&gt;1,"Set fare",IF(OR(D84&lt;0,ROUND(D84,2)&lt;&gt;D84),"Check fare","Ready"))))</x:f>
      </x:c>
    </x:row>
    <x:row r="85" ht="28" customHeight="1">
      <x:c r="A85" s="11"/>
      <x:c r="B85" s="11"/>
      <x:c r="C85" s="11"/>
      <x:c r="D85" s="15"/>
      <x:c r="E85" s="11"/>
      <x:c r="F85" s="11"/>
      <x:c r="G85" s="11"/>
      <x:c r="H85" s="11"/>
      <x:c r="I85" s="12" t="str">
        <x:f>IF(A85="","",IF(OR(B85="",C85=""),"Set places",IF(COUNT(D85)&lt;&gt;1,"Set fare",IF(OR(D85&lt;0,ROUND(D85,2)&lt;&gt;D85),"Check fare","Ready"))))</x:f>
      </x:c>
    </x:row>
    <x:row r="86" ht="28" customHeight="1">
      <x:c r="A86" s="11"/>
      <x:c r="B86" s="11"/>
      <x:c r="C86" s="11"/>
      <x:c r="D86" s="15"/>
      <x:c r="E86" s="11"/>
      <x:c r="F86" s="11"/>
      <x:c r="G86" s="11"/>
      <x:c r="H86" s="11"/>
      <x:c r="I86" s="12" t="str">
        <x:f>IF(A86="","",IF(OR(B86="",C86=""),"Set places",IF(COUNT(D86)&lt;&gt;1,"Set fare",IF(OR(D86&lt;0,ROUND(D86,2)&lt;&gt;D86),"Check fare","Ready"))))</x:f>
      </x:c>
    </x:row>
    <x:row r="87" ht="28" customHeight="1">
      <x:c r="A87" s="11"/>
      <x:c r="B87" s="11"/>
      <x:c r="C87" s="11"/>
      <x:c r="D87" s="15"/>
      <x:c r="E87" s="11"/>
      <x:c r="F87" s="11"/>
      <x:c r="G87" s="11"/>
      <x:c r="H87" s="11"/>
      <x:c r="I87" s="12" t="str">
        <x:f>IF(A87="","",IF(OR(B87="",C87=""),"Set places",IF(COUNT(D87)&lt;&gt;1,"Set fare",IF(OR(D87&lt;0,ROUND(D87,2)&lt;&gt;D87),"Check fare","Ready"))))</x:f>
      </x:c>
    </x:row>
    <x:row r="88" ht="28" customHeight="1">
      <x:c r="A88" s="11"/>
      <x:c r="B88" s="11"/>
      <x:c r="C88" s="11"/>
      <x:c r="D88" s="15"/>
      <x:c r="E88" s="11"/>
      <x:c r="F88" s="11"/>
      <x:c r="G88" s="11"/>
      <x:c r="H88" s="11"/>
      <x:c r="I88" s="12" t="str">
        <x:f>IF(A88="","",IF(OR(B88="",C88=""),"Set places",IF(COUNT(D88)&lt;&gt;1,"Set fare",IF(OR(D88&lt;0,ROUND(D88,2)&lt;&gt;D88),"Check fare","Ready"))))</x:f>
      </x:c>
    </x:row>
    <x:row r="89" ht="28" customHeight="1">
      <x:c r="A89" s="11"/>
      <x:c r="B89" s="11"/>
      <x:c r="C89" s="11"/>
      <x:c r="D89" s="15"/>
      <x:c r="E89" s="11"/>
      <x:c r="F89" s="11"/>
      <x:c r="G89" s="11"/>
      <x:c r="H89" s="11"/>
      <x:c r="I89" s="12" t="str">
        <x:f>IF(A89="","",IF(OR(B89="",C89=""),"Set places",IF(COUNT(D89)&lt;&gt;1,"Set fare",IF(OR(D89&lt;0,ROUND(D89,2)&lt;&gt;D89),"Check fare","Ready"))))</x:f>
      </x:c>
    </x:row>
    <x:row r="90" ht="28" customHeight="1">
      <x:c r="A90" s="11"/>
      <x:c r="B90" s="11"/>
      <x:c r="C90" s="11"/>
      <x:c r="D90" s="15"/>
      <x:c r="E90" s="11"/>
      <x:c r="F90" s="11"/>
      <x:c r="G90" s="11"/>
      <x:c r="H90" s="11"/>
      <x:c r="I90" s="12" t="str">
        <x:f>IF(A90="","",IF(OR(B90="",C90=""),"Set places",IF(COUNT(D90)&lt;&gt;1,"Set fare",IF(OR(D90&lt;0,ROUND(D90,2)&lt;&gt;D90),"Check fare","Ready"))))</x:f>
      </x:c>
    </x:row>
    <x:row r="91" ht="28" customHeight="1">
      <x:c r="A91" s="11"/>
      <x:c r="B91" s="11"/>
      <x:c r="C91" s="11"/>
      <x:c r="D91" s="15"/>
      <x:c r="E91" s="11"/>
      <x:c r="F91" s="11"/>
      <x:c r="G91" s="11"/>
      <x:c r="H91" s="11"/>
      <x:c r="I91" s="12" t="str">
        <x:f>IF(A91="","",IF(OR(B91="",C91=""),"Set places",IF(COUNT(D91)&lt;&gt;1,"Set fare",IF(OR(D91&lt;0,ROUND(D91,2)&lt;&gt;D91),"Check fare","Ready"))))</x:f>
      </x:c>
    </x:row>
    <x:row r="92" ht="28" customHeight="1">
      <x:c r="A92" s="11"/>
      <x:c r="B92" s="11"/>
      <x:c r="C92" s="11"/>
      <x:c r="D92" s="15"/>
      <x:c r="E92" s="11"/>
      <x:c r="F92" s="11"/>
      <x:c r="G92" s="11"/>
      <x:c r="H92" s="11"/>
      <x:c r="I92" s="12" t="str">
        <x:f>IF(A92="","",IF(OR(B92="",C92=""),"Set places",IF(COUNT(D92)&lt;&gt;1,"Set fare",IF(OR(D92&lt;0,ROUND(D92,2)&lt;&gt;D92),"Check fare","Ready"))))</x:f>
      </x:c>
    </x:row>
    <x:row r="93" ht="28" customHeight="1">
      <x:c r="A93" s="11"/>
      <x:c r="B93" s="11"/>
      <x:c r="C93" s="11"/>
      <x:c r="D93" s="15"/>
      <x:c r="E93" s="11"/>
      <x:c r="F93" s="11"/>
      <x:c r="G93" s="11"/>
      <x:c r="H93" s="11"/>
      <x:c r="I93" s="12" t="str">
        <x:f>IF(A93="","",IF(OR(B93="",C93=""),"Set places",IF(COUNT(D93)&lt;&gt;1,"Set fare",IF(OR(D93&lt;0,ROUND(D93,2)&lt;&gt;D93),"Check fare","Ready"))))</x:f>
      </x:c>
    </x:row>
    <x:row r="94" ht="28" customHeight="1">
      <x:c r="A94" s="11"/>
      <x:c r="B94" s="11"/>
      <x:c r="C94" s="11"/>
      <x:c r="D94" s="15"/>
      <x:c r="E94" s="11"/>
      <x:c r="F94" s="11"/>
      <x:c r="G94" s="11"/>
      <x:c r="H94" s="11"/>
      <x:c r="I94" s="12" t="str">
        <x:f>IF(A94="","",IF(OR(B94="",C94=""),"Set places",IF(COUNT(D94)&lt;&gt;1,"Set fare",IF(OR(D94&lt;0,ROUND(D94,2)&lt;&gt;D94),"Check fare","Ready"))))</x:f>
      </x:c>
    </x:row>
    <x:row r="95" ht="28" customHeight="1">
      <x:c r="A95" s="11"/>
      <x:c r="B95" s="11"/>
      <x:c r="C95" s="11"/>
      <x:c r="D95" s="15"/>
      <x:c r="E95" s="11"/>
      <x:c r="F95" s="11"/>
      <x:c r="G95" s="11"/>
      <x:c r="H95" s="11"/>
      <x:c r="I95" s="12" t="str">
        <x:f>IF(A95="","",IF(OR(B95="",C95=""),"Set places",IF(COUNT(D95)&lt;&gt;1,"Set fare",IF(OR(D95&lt;0,ROUND(D95,2)&lt;&gt;D95),"Check fare","Ready"))))</x:f>
      </x:c>
    </x:row>
    <x:row r="96" ht="28" customHeight="1">
      <x:c r="A96" s="11"/>
      <x:c r="B96" s="11"/>
      <x:c r="C96" s="11"/>
      <x:c r="D96" s="15"/>
      <x:c r="E96" s="11"/>
      <x:c r="F96" s="11"/>
      <x:c r="G96" s="11"/>
      <x:c r="H96" s="11"/>
      <x:c r="I96" s="12" t="str">
        <x:f>IF(A96="","",IF(OR(B96="",C96=""),"Set places",IF(COUNT(D96)&lt;&gt;1,"Set fare",IF(OR(D96&lt;0,ROUND(D96,2)&lt;&gt;D96),"Check fare","Ready"))))</x:f>
      </x:c>
    </x:row>
    <x:row r="97" ht="28" customHeight="1">
      <x:c r="A97" s="11"/>
      <x:c r="B97" s="11"/>
      <x:c r="C97" s="11"/>
      <x:c r="D97" s="15"/>
      <x:c r="E97" s="11"/>
      <x:c r="F97" s="11"/>
      <x:c r="G97" s="11"/>
      <x:c r="H97" s="11"/>
      <x:c r="I97" s="12" t="str">
        <x:f>IF(A97="","",IF(OR(B97="",C97=""),"Set places",IF(COUNT(D97)&lt;&gt;1,"Set fare",IF(OR(D97&lt;0,ROUND(D97,2)&lt;&gt;D97),"Check fare","Ready"))))</x:f>
      </x:c>
    </x:row>
    <x:row r="98" ht="28" customHeight="1">
      <x:c r="A98" s="11"/>
      <x:c r="B98" s="11"/>
      <x:c r="C98" s="11"/>
      <x:c r="D98" s="15"/>
      <x:c r="E98" s="11"/>
      <x:c r="F98" s="11"/>
      <x:c r="G98" s="11"/>
      <x:c r="H98" s="11"/>
      <x:c r="I98" s="12" t="str">
        <x:f>IF(A98="","",IF(OR(B98="",C98=""),"Set places",IF(COUNT(D98)&lt;&gt;1,"Set fare",IF(OR(D98&lt;0,ROUND(D98,2)&lt;&gt;D98),"Check fare","Ready"))))</x:f>
      </x:c>
    </x:row>
    <x:row r="99" ht="28" customHeight="1">
      <x:c r="A99" s="11"/>
      <x:c r="B99" s="11"/>
      <x:c r="C99" s="11"/>
      <x:c r="D99" s="15"/>
      <x:c r="E99" s="11"/>
      <x:c r="F99" s="11"/>
      <x:c r="G99" s="11"/>
      <x:c r="H99" s="11"/>
      <x:c r="I99" s="12" t="str">
        <x:f>IF(A99="","",IF(OR(B99="",C99=""),"Set places",IF(COUNT(D99)&lt;&gt;1,"Set fare",IF(OR(D99&lt;0,ROUND(D99,2)&lt;&gt;D99),"Check fare","Ready"))))</x:f>
      </x:c>
    </x:row>
    <x:row r="100" ht="28" customHeight="1">
      <x:c r="A100" s="11"/>
      <x:c r="B100" s="11"/>
      <x:c r="C100" s="11"/>
      <x:c r="D100" s="15"/>
      <x:c r="E100" s="11"/>
      <x:c r="F100" s="11"/>
      <x:c r="G100" s="11"/>
      <x:c r="H100" s="11"/>
      <x:c r="I100" s="12" t="str">
        <x:f>IF(A100="","",IF(OR(B100="",C100=""),"Set places",IF(COUNT(D100)&lt;&gt;1,"Set fare",IF(OR(D100&lt;0,ROUND(D100,2)&lt;&gt;D100),"Check fare","Ready"))))</x:f>
      </x:c>
    </x:row>
    <x:row r="101" ht="28" customHeight="1">
      <x:c r="A101" s="11"/>
      <x:c r="B101" s="11"/>
      <x:c r="C101" s="11"/>
      <x:c r="D101" s="15"/>
      <x:c r="E101" s="11"/>
      <x:c r="F101" s="11"/>
      <x:c r="G101" s="11"/>
      <x:c r="H101" s="11"/>
      <x:c r="I101" s="12" t="str">
        <x:f>IF(A101="","",IF(OR(B101="",C101=""),"Set places",IF(COUNT(D101)&lt;&gt;1,"Set fare",IF(OR(D101&lt;0,ROUND(D101,2)&lt;&gt;D101),"Check fare","Ready"))))</x:f>
      </x:c>
    </x:row>
    <x:row r="102" ht="28" customHeight="1">
      <x:c r="A102" s="11"/>
      <x:c r="B102" s="11"/>
      <x:c r="C102" s="11"/>
      <x:c r="D102" s="15"/>
      <x:c r="E102" s="11"/>
      <x:c r="F102" s="11"/>
      <x:c r="G102" s="11"/>
      <x:c r="H102" s="11"/>
      <x:c r="I102" s="12" t="str">
        <x:f>IF(A102="","",IF(OR(B102="",C102=""),"Set places",IF(COUNT(D102)&lt;&gt;1,"Set fare",IF(OR(D102&lt;0,ROUND(D102,2)&lt;&gt;D102),"Check fare","Ready"))))</x:f>
      </x:c>
    </x:row>
    <x:row r="103" ht="28" customHeight="1">
      <x:c r="A103" s="11"/>
      <x:c r="B103" s="11"/>
      <x:c r="C103" s="11"/>
      <x:c r="D103" s="15"/>
      <x:c r="E103" s="11"/>
      <x:c r="F103" s="11"/>
      <x:c r="G103" s="11"/>
      <x:c r="H103" s="11"/>
      <x:c r="I103" s="12" t="str">
        <x:f>IF(A103="","",IF(OR(B103="",C103=""),"Set places",IF(COUNT(D103)&lt;&gt;1,"Set fare",IF(OR(D103&lt;0,ROUND(D103,2)&lt;&gt;D103),"Check fare","Ready"))))</x:f>
      </x:c>
    </x:row>
    <x:row r="104" ht="28" customHeight="1">
      <x:c r="A104" s="11"/>
      <x:c r="B104" s="11"/>
      <x:c r="C104" s="11"/>
      <x:c r="D104" s="15"/>
      <x:c r="E104" s="11"/>
      <x:c r="F104" s="11"/>
      <x:c r="G104" s="11"/>
      <x:c r="H104" s="11"/>
      <x:c r="I104" s="12" t="str">
        <x:f>IF(A104="","",IF(OR(B104="",C104=""),"Set places",IF(COUNT(D104)&lt;&gt;1,"Set fare",IF(OR(D104&lt;0,ROUND(D104,2)&lt;&gt;D104),"Check fare","Ready"))))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16" hidden="0" customWidth="1"/>
    <x:col min="4" max="4" width="28" hidden="0" customWidth="1"/>
    <x:col min="5" max="5" width="45" hidden="0" customWidth="1"/>
    <x:col min="6" max="6" width="30" hidden="0" customWidth="1"/>
    <x:col min="7" max="7" width="28" hidden="0" customWidth="1"/>
    <x:col min="8" max="8" width="20" hidden="0" customWidth="1"/>
  </x:cols>
  <x:sheetData>
    <x:row r="1">
      <x:c r="A1" s="18" t="str">
        <x:v>Counters, commission and signatures</x:v>
      </x:c>
      <x:c r="B1" s="8"/>
      <x:c r="C1" s="8"/>
      <x:c r="D1" s="8"/>
      <x:c r="E1" s="8"/>
      <x:c r="F1" s="8"/>
      <x:c r="G1" s="8"/>
      <x:c r="H1" s="8"/>
    </x:row>
    <x:row r="2">
      <x:c r="A2" s="8" t="str">
        <x:v>Enter real counter names. Blank / None = no commission. Fixed = BDT per seat; Percent = percentage.</x:v>
      </x:c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 ht="34" customHeight="1">
      <x:c r="A4" s="17" t="str">
        <x:v>Counter</x:v>
      </x:c>
      <x:c r="B4" s="17" t="str">
        <x:v>Commission Mode</x:v>
      </x:c>
      <x:c r="C4" s="17" t="str">
        <x:v>Rate</x:v>
      </x:c>
      <x:c r="D4" s="17" t="str">
        <x:v>Signatory</x:v>
      </x:c>
      <x:c r="E4" s="17" t="str">
        <x:v>Signature File</x:v>
      </x:c>
      <x:c r="F4" s="17" t="str">
        <x:v>Counter EN</x:v>
      </x:c>
      <x:c r="G4" s="17" t="str">
        <x:v>Signatory EN</x:v>
      </x:c>
      <x:c r="H4" s="17" t="str">
        <x:v>Status</x:v>
      </x:c>
    </x:row>
    <x:row r="5" ht="28" customHeight="1">
      <x:c r="A5" s="11"/>
      <x:c r="B5" s="11"/>
      <x:c r="C5" s="27"/>
      <x:c r="D5" s="11"/>
      <x:c r="E5" s="11"/>
      <x:c r="F5" s="11"/>
      <x:c r="G5" s="11"/>
      <x:c r="H5" s="12" t="str">
        <x:f>IF(A5="","",IF(OR(B5="",B5="None"),IF(OR(C5="",C5=0),"Ready","Check rate"),IF(AND(B5&lt;&gt;"Fixed",B5&lt;&gt;"Percent"),"Set mode",IF(COUNT(C5)&lt;&gt;1,"Set rate",IF(OR(C5&lt;0,ROUND(C5,2)&lt;&gt;C5,AND(B5="Percent",C5&gt;100)),"Check rate","Ready")))))</x:f>
      </x:c>
    </x:row>
    <x:row r="6" ht="28" customHeight="1">
      <x:c r="A6" s="11"/>
      <x:c r="B6" s="11"/>
      <x:c r="C6" s="27"/>
      <x:c r="D6" s="11"/>
      <x:c r="E6" s="11"/>
      <x:c r="F6" s="11"/>
      <x:c r="G6" s="11"/>
      <x:c r="H6" s="12" t="str">
        <x:f>IF(A6="","",IF(OR(B6="",B6="None"),IF(OR(C6="",C6=0),"Ready","Check rate"),IF(AND(B6&lt;&gt;"Fixed",B6&lt;&gt;"Percent"),"Set mode",IF(COUNT(C6)&lt;&gt;1,"Set rate",IF(OR(C6&lt;0,ROUND(C6,2)&lt;&gt;C6,AND(B6="Percent",C6&gt;100)),"Check rate","Ready")))))</x:f>
      </x:c>
    </x:row>
    <x:row r="7" ht="28" customHeight="1">
      <x:c r="A7" s="11"/>
      <x:c r="B7" s="11"/>
      <x:c r="C7" s="27"/>
      <x:c r="D7" s="11"/>
      <x:c r="E7" s="11"/>
      <x:c r="F7" s="11"/>
      <x:c r="G7" s="11"/>
      <x:c r="H7" s="12" t="str">
        <x:f>IF(A7="","",IF(OR(B7="",B7="None"),IF(OR(C7="",C7=0),"Ready","Check rate"),IF(AND(B7&lt;&gt;"Fixed",B7&lt;&gt;"Percent"),"Set mode",IF(COUNT(C7)&lt;&gt;1,"Set rate",IF(OR(C7&lt;0,ROUND(C7,2)&lt;&gt;C7,AND(B7="Percent",C7&gt;100)),"Check rate","Ready")))))</x:f>
      </x:c>
    </x:row>
    <x:row r="8" ht="28" customHeight="1">
      <x:c r="A8" s="11"/>
      <x:c r="B8" s="11"/>
      <x:c r="C8" s="27"/>
      <x:c r="D8" s="11"/>
      <x:c r="E8" s="11"/>
      <x:c r="F8" s="11"/>
      <x:c r="G8" s="11"/>
      <x:c r="H8" s="12" t="str">
        <x:f>IF(A8="","",IF(OR(B8="",B8="None"),IF(OR(C8="",C8=0),"Ready","Check rate"),IF(AND(B8&lt;&gt;"Fixed",B8&lt;&gt;"Percent"),"Set mode",IF(COUNT(C8)&lt;&gt;1,"Set rate",IF(OR(C8&lt;0,ROUND(C8,2)&lt;&gt;C8,AND(B8="Percent",C8&gt;100)),"Check rate","Ready")))))</x:f>
      </x:c>
    </x:row>
    <x:row r="9" ht="28" customHeight="1">
      <x:c r="A9" s="11"/>
      <x:c r="B9" s="11"/>
      <x:c r="C9" s="27"/>
      <x:c r="D9" s="11"/>
      <x:c r="E9" s="11"/>
      <x:c r="F9" s="11"/>
      <x:c r="G9" s="11"/>
      <x:c r="H9" s="12" t="str">
        <x:f>IF(A9="","",IF(OR(B9="",B9="None"),IF(OR(C9="",C9=0),"Ready","Check rate"),IF(AND(B9&lt;&gt;"Fixed",B9&lt;&gt;"Percent"),"Set mode",IF(COUNT(C9)&lt;&gt;1,"Set rate",IF(OR(C9&lt;0,ROUND(C9,2)&lt;&gt;C9,AND(B9="Percent",C9&gt;100)),"Check rate","Ready")))))</x:f>
      </x:c>
    </x:row>
    <x:row r="10" ht="28" customHeight="1">
      <x:c r="A10" s="11"/>
      <x:c r="B10" s="11"/>
      <x:c r="C10" s="27"/>
      <x:c r="D10" s="11"/>
      <x:c r="E10" s="11"/>
      <x:c r="F10" s="11"/>
      <x:c r="G10" s="11"/>
      <x:c r="H10" s="12" t="str">
        <x:f>IF(A10="","",IF(OR(B10="",B10="None"),IF(OR(C10="",C10=0),"Ready","Check rate"),IF(AND(B10&lt;&gt;"Fixed",B10&lt;&gt;"Percent"),"Set mode",IF(COUNT(C10)&lt;&gt;1,"Set rate",IF(OR(C10&lt;0,ROUND(C10,2)&lt;&gt;C10,AND(B10="Percent",C10&gt;100)),"Check rate","Ready")))))</x:f>
      </x:c>
    </x:row>
    <x:row r="11" ht="28" customHeight="1">
      <x:c r="A11" s="11"/>
      <x:c r="B11" s="11"/>
      <x:c r="C11" s="27"/>
      <x:c r="D11" s="11"/>
      <x:c r="E11" s="11"/>
      <x:c r="F11" s="11"/>
      <x:c r="G11" s="11"/>
      <x:c r="H11" s="12" t="str">
        <x:f>IF(A11="","",IF(OR(B11="",B11="None"),IF(OR(C11="",C11=0),"Ready","Check rate"),IF(AND(B11&lt;&gt;"Fixed",B11&lt;&gt;"Percent"),"Set mode",IF(COUNT(C11)&lt;&gt;1,"Set rate",IF(OR(C11&lt;0,ROUND(C11,2)&lt;&gt;C11,AND(B11="Percent",C11&gt;100)),"Check rate","Ready")))))</x:f>
      </x:c>
    </x:row>
    <x:row r="12" ht="28" customHeight="1">
      <x:c r="A12" s="11"/>
      <x:c r="B12" s="11"/>
      <x:c r="C12" s="27"/>
      <x:c r="D12" s="11"/>
      <x:c r="E12" s="11"/>
      <x:c r="F12" s="11"/>
      <x:c r="G12" s="11"/>
      <x:c r="H12" s="12" t="str">
        <x:f>IF(A12="","",IF(OR(B12="",B12="None"),IF(OR(C12="",C12=0),"Ready","Check rate"),IF(AND(B12&lt;&gt;"Fixed",B12&lt;&gt;"Percent"),"Set mode",IF(COUNT(C12)&lt;&gt;1,"Set rate",IF(OR(C12&lt;0,ROUND(C12,2)&lt;&gt;C12,AND(B12="Percent",C12&gt;100)),"Check rate","Ready")))))</x:f>
      </x:c>
    </x:row>
    <x:row r="13" ht="28" customHeight="1">
      <x:c r="A13" s="11"/>
      <x:c r="B13" s="11"/>
      <x:c r="C13" s="27"/>
      <x:c r="D13" s="11"/>
      <x:c r="E13" s="11"/>
      <x:c r="F13" s="11"/>
      <x:c r="G13" s="11"/>
      <x:c r="H13" s="12" t="str">
        <x:f>IF(A13="","",IF(OR(B13="",B13="None"),IF(OR(C13="",C13=0),"Ready","Check rate"),IF(AND(B13&lt;&gt;"Fixed",B13&lt;&gt;"Percent"),"Set mode",IF(COUNT(C13)&lt;&gt;1,"Set rate",IF(OR(C13&lt;0,ROUND(C13,2)&lt;&gt;C13,AND(B13="Percent",C13&gt;100)),"Check rate","Ready")))))</x:f>
      </x:c>
    </x:row>
    <x:row r="14" ht="28" customHeight="1">
      <x:c r="A14" s="11"/>
      <x:c r="B14" s="11"/>
      <x:c r="C14" s="27"/>
      <x:c r="D14" s="11"/>
      <x:c r="E14" s="11"/>
      <x:c r="F14" s="11"/>
      <x:c r="G14" s="11"/>
      <x:c r="H14" s="12" t="str">
        <x:f>IF(A14="","",IF(OR(B14="",B14="None"),IF(OR(C14="",C14=0),"Ready","Check rate"),IF(AND(B14&lt;&gt;"Fixed",B14&lt;&gt;"Percent"),"Set mode",IF(COUNT(C14)&lt;&gt;1,"Set rate",IF(OR(C14&lt;0,ROUND(C14,2)&lt;&gt;C14,AND(B14="Percent",C14&gt;100)),"Check rate","Ready")))))</x:f>
      </x:c>
    </x:row>
    <x:row r="15" ht="28" customHeight="1">
      <x:c r="A15" s="11"/>
      <x:c r="B15" s="11"/>
      <x:c r="C15" s="27"/>
      <x:c r="D15" s="11"/>
      <x:c r="E15" s="11"/>
      <x:c r="F15" s="11"/>
      <x:c r="G15" s="11"/>
      <x:c r="H15" s="12" t="str">
        <x:f>IF(A15="","",IF(OR(B15="",B15="None"),IF(OR(C15="",C15=0),"Ready","Check rate"),IF(AND(B15&lt;&gt;"Fixed",B15&lt;&gt;"Percent"),"Set mode",IF(COUNT(C15)&lt;&gt;1,"Set rate",IF(OR(C15&lt;0,ROUND(C15,2)&lt;&gt;C15,AND(B15="Percent",C15&gt;100)),"Check rate","Ready")))))</x:f>
      </x:c>
    </x:row>
    <x:row r="16" ht="28" customHeight="1">
      <x:c r="A16" s="11"/>
      <x:c r="B16" s="11"/>
      <x:c r="C16" s="27"/>
      <x:c r="D16" s="11"/>
      <x:c r="E16" s="11"/>
      <x:c r="F16" s="11"/>
      <x:c r="G16" s="11"/>
      <x:c r="H16" s="12" t="str">
        <x:f>IF(A16="","",IF(OR(B16="",B16="None"),IF(OR(C16="",C16=0),"Ready","Check rate"),IF(AND(B16&lt;&gt;"Fixed",B16&lt;&gt;"Percent"),"Set mode",IF(COUNT(C16)&lt;&gt;1,"Set rate",IF(OR(C16&lt;0,ROUND(C16,2)&lt;&gt;C16,AND(B16="Percent",C16&gt;100)),"Check rate","Ready")))))</x:f>
      </x:c>
    </x:row>
    <x:row r="17" ht="28" customHeight="1">
      <x:c r="A17" s="11"/>
      <x:c r="B17" s="11"/>
      <x:c r="C17" s="27"/>
      <x:c r="D17" s="11"/>
      <x:c r="E17" s="11"/>
      <x:c r="F17" s="11"/>
      <x:c r="G17" s="11"/>
      <x:c r="H17" s="12" t="str">
        <x:f>IF(A17="","",IF(OR(B17="",B17="None"),IF(OR(C17="",C17=0),"Ready","Check rate"),IF(AND(B17&lt;&gt;"Fixed",B17&lt;&gt;"Percent"),"Set mode",IF(COUNT(C17)&lt;&gt;1,"Set rate",IF(OR(C17&lt;0,ROUND(C17,2)&lt;&gt;C17,AND(B17="Percent",C17&gt;100)),"Check rate","Ready")))))</x:f>
      </x:c>
    </x:row>
    <x:row r="18" ht="28" customHeight="1">
      <x:c r="A18" s="11"/>
      <x:c r="B18" s="11"/>
      <x:c r="C18" s="27"/>
      <x:c r="D18" s="11"/>
      <x:c r="E18" s="11"/>
      <x:c r="F18" s="11"/>
      <x:c r="G18" s="11"/>
      <x:c r="H18" s="12" t="str">
        <x:f>IF(A18="","",IF(OR(B18="",B18="None"),IF(OR(C18="",C18=0),"Ready","Check rate"),IF(AND(B18&lt;&gt;"Fixed",B18&lt;&gt;"Percent"),"Set mode",IF(COUNT(C18)&lt;&gt;1,"Set rate",IF(OR(C18&lt;0,ROUND(C18,2)&lt;&gt;C18,AND(B18="Percent",C18&gt;100)),"Check rate","Ready")))))</x:f>
      </x:c>
    </x:row>
    <x:row r="19" ht="28" customHeight="1">
      <x:c r="A19" s="11"/>
      <x:c r="B19" s="11"/>
      <x:c r="C19" s="27"/>
      <x:c r="D19" s="11"/>
      <x:c r="E19" s="11"/>
      <x:c r="F19" s="11"/>
      <x:c r="G19" s="11"/>
      <x:c r="H19" s="12" t="str">
        <x:f>IF(A19="","",IF(OR(B19="",B19="None"),IF(OR(C19="",C19=0),"Ready","Check rate"),IF(AND(B19&lt;&gt;"Fixed",B19&lt;&gt;"Percent"),"Set mode",IF(COUNT(C19)&lt;&gt;1,"Set rate",IF(OR(C19&lt;0,ROUND(C19,2)&lt;&gt;C19,AND(B19="Percent",C19&gt;100)),"Check rate","Ready")))))</x:f>
      </x:c>
    </x:row>
    <x:row r="20" ht="28" customHeight="1">
      <x:c r="A20" s="11"/>
      <x:c r="B20" s="11"/>
      <x:c r="C20" s="27"/>
      <x:c r="D20" s="11"/>
      <x:c r="E20" s="11"/>
      <x:c r="F20" s="11"/>
      <x:c r="G20" s="11"/>
      <x:c r="H20" s="12" t="str">
        <x:f>IF(A20="","",IF(OR(B20="",B20="None"),IF(OR(C20="",C20=0),"Ready","Check rate"),IF(AND(B20&lt;&gt;"Fixed",B20&lt;&gt;"Percent"),"Set mode",IF(COUNT(C20)&lt;&gt;1,"Set rate",IF(OR(C20&lt;0,ROUND(C20,2)&lt;&gt;C20,AND(B20="Percent",C20&gt;100)),"Check rate","Ready")))))</x:f>
      </x:c>
    </x:row>
    <x:row r="21" ht="28" customHeight="1">
      <x:c r="A21" s="11"/>
      <x:c r="B21" s="11"/>
      <x:c r="C21" s="27"/>
      <x:c r="D21" s="11"/>
      <x:c r="E21" s="11"/>
      <x:c r="F21" s="11"/>
      <x:c r="G21" s="11"/>
      <x:c r="H21" s="12" t="str">
        <x:f>IF(A21="","",IF(OR(B21="",B21="None"),IF(OR(C21="",C21=0),"Ready","Check rate"),IF(AND(B21&lt;&gt;"Fixed",B21&lt;&gt;"Percent"),"Set mode",IF(COUNT(C21)&lt;&gt;1,"Set rate",IF(OR(C21&lt;0,ROUND(C21,2)&lt;&gt;C21,AND(B21="Percent",C21&gt;100)),"Check rate","Ready")))))</x:f>
      </x:c>
    </x:row>
    <x:row r="22" ht="28" customHeight="1">
      <x:c r="A22" s="11"/>
      <x:c r="B22" s="11"/>
      <x:c r="C22" s="27"/>
      <x:c r="D22" s="11"/>
      <x:c r="E22" s="11"/>
      <x:c r="F22" s="11"/>
      <x:c r="G22" s="11"/>
      <x:c r="H22" s="12" t="str">
        <x:f>IF(A22="","",IF(OR(B22="",B22="None"),IF(OR(C22="",C22=0),"Ready","Check rate"),IF(AND(B22&lt;&gt;"Fixed",B22&lt;&gt;"Percent"),"Set mode",IF(COUNT(C22)&lt;&gt;1,"Set rate",IF(OR(C22&lt;0,ROUND(C22,2)&lt;&gt;C22,AND(B22="Percent",C22&gt;100)),"Check rate","Ready")))))</x:f>
      </x:c>
    </x:row>
    <x:row r="23" ht="28" customHeight="1">
      <x:c r="A23" s="11"/>
      <x:c r="B23" s="11"/>
      <x:c r="C23" s="27"/>
      <x:c r="D23" s="11"/>
      <x:c r="E23" s="11"/>
      <x:c r="F23" s="11"/>
      <x:c r="G23" s="11"/>
      <x:c r="H23" s="12" t="str">
        <x:f>IF(A23="","",IF(OR(B23="",B23="None"),IF(OR(C23="",C23=0),"Ready","Check rate"),IF(AND(B23&lt;&gt;"Fixed",B23&lt;&gt;"Percent"),"Set mode",IF(COUNT(C23)&lt;&gt;1,"Set rate",IF(OR(C23&lt;0,ROUND(C23,2)&lt;&gt;C23,AND(B23="Percent",C23&gt;100)),"Check rate","Ready")))))</x:f>
      </x:c>
    </x:row>
    <x:row r="24" ht="28" customHeight="1">
      <x:c r="A24" s="11"/>
      <x:c r="B24" s="11"/>
      <x:c r="C24" s="27"/>
      <x:c r="D24" s="11"/>
      <x:c r="E24" s="11"/>
      <x:c r="F24" s="11"/>
      <x:c r="G24" s="11"/>
      <x:c r="H24" s="12" t="str">
        <x:f>IF(A24="","",IF(OR(B24="",B24="None"),IF(OR(C24="",C24=0),"Ready","Check rate"),IF(AND(B24&lt;&gt;"Fixed",B24&lt;&gt;"Percent"),"Set mode",IF(COUNT(C24)&lt;&gt;1,"Set rate",IF(OR(C24&lt;0,ROUND(C24,2)&lt;&gt;C24,AND(B24="Percent",C24&gt;100)),"Check rate","Ready")))))</x:f>
      </x:c>
    </x:row>
    <x:row r="25" ht="28" customHeight="1">
      <x:c r="A25" s="11"/>
      <x:c r="B25" s="11"/>
      <x:c r="C25" s="27"/>
      <x:c r="D25" s="11"/>
      <x:c r="E25" s="11"/>
      <x:c r="F25" s="11"/>
      <x:c r="G25" s="11"/>
      <x:c r="H25" s="12" t="str">
        <x:f>IF(A25="","",IF(OR(B25="",B25="None"),IF(OR(C25="",C25=0),"Ready","Check rate"),IF(AND(B25&lt;&gt;"Fixed",B25&lt;&gt;"Percent"),"Set mode",IF(COUNT(C25)&lt;&gt;1,"Set rate",IF(OR(C25&lt;0,ROUND(C25,2)&lt;&gt;C25,AND(B25="Percent",C25&gt;100)),"Check rate","Ready")))))</x:f>
      </x:c>
    </x:row>
    <x:row r="26" ht="28" customHeight="1">
      <x:c r="A26" s="11"/>
      <x:c r="B26" s="11"/>
      <x:c r="C26" s="27"/>
      <x:c r="D26" s="11"/>
      <x:c r="E26" s="11"/>
      <x:c r="F26" s="11"/>
      <x:c r="G26" s="11"/>
      <x:c r="H26" s="12" t="str">
        <x:f>IF(A26="","",IF(OR(B26="",B26="None"),IF(OR(C26="",C26=0),"Ready","Check rate"),IF(AND(B26&lt;&gt;"Fixed",B26&lt;&gt;"Percent"),"Set mode",IF(COUNT(C26)&lt;&gt;1,"Set rate",IF(OR(C26&lt;0,ROUND(C26,2)&lt;&gt;C26,AND(B26="Percent",C26&gt;100)),"Check rate","Ready")))))</x:f>
      </x:c>
    </x:row>
    <x:row r="27" ht="28" customHeight="1">
      <x:c r="A27" s="11"/>
      <x:c r="B27" s="11"/>
      <x:c r="C27" s="27"/>
      <x:c r="D27" s="11"/>
      <x:c r="E27" s="11"/>
      <x:c r="F27" s="11"/>
      <x:c r="G27" s="11"/>
      <x:c r="H27" s="12" t="str">
        <x:f>IF(A27="","",IF(OR(B27="",B27="None"),IF(OR(C27="",C27=0),"Ready","Check rate"),IF(AND(B27&lt;&gt;"Fixed",B27&lt;&gt;"Percent"),"Set mode",IF(COUNT(C27)&lt;&gt;1,"Set rate",IF(OR(C27&lt;0,ROUND(C27,2)&lt;&gt;C27,AND(B27="Percent",C27&gt;100)),"Check rate","Ready")))))</x:f>
      </x:c>
    </x:row>
    <x:row r="28" ht="28" customHeight="1">
      <x:c r="A28" s="11"/>
      <x:c r="B28" s="11"/>
      <x:c r="C28" s="27"/>
      <x:c r="D28" s="11"/>
      <x:c r="E28" s="11"/>
      <x:c r="F28" s="11"/>
      <x:c r="G28" s="11"/>
      <x:c r="H28" s="12" t="str">
        <x:f>IF(A28="","",IF(OR(B28="",B28="None"),IF(OR(C28="",C28=0),"Ready","Check rate"),IF(AND(B28&lt;&gt;"Fixed",B28&lt;&gt;"Percent"),"Set mode",IF(COUNT(C28)&lt;&gt;1,"Set rate",IF(OR(C28&lt;0,ROUND(C28,2)&lt;&gt;C28,AND(B28="Percent",C28&gt;100)),"Check rate","Ready")))))</x:f>
      </x:c>
    </x:row>
    <x:row r="29" ht="28" customHeight="1">
      <x:c r="A29" s="11"/>
      <x:c r="B29" s="11"/>
      <x:c r="C29" s="27"/>
      <x:c r="D29" s="11"/>
      <x:c r="E29" s="11"/>
      <x:c r="F29" s="11"/>
      <x:c r="G29" s="11"/>
      <x:c r="H29" s="12" t="str">
        <x:f>IF(A29="","",IF(OR(B29="",B29="None"),IF(OR(C29="",C29=0),"Ready","Check rate"),IF(AND(B29&lt;&gt;"Fixed",B29&lt;&gt;"Percent"),"Set mode",IF(COUNT(C29)&lt;&gt;1,"Set rate",IF(OR(C29&lt;0,ROUND(C29,2)&lt;&gt;C29,AND(B29="Percent",C29&gt;100)),"Check rate","Ready")))))</x:f>
      </x:c>
    </x:row>
    <x:row r="30" ht="28" customHeight="1">
      <x:c r="A30" s="11"/>
      <x:c r="B30" s="11"/>
      <x:c r="C30" s="27"/>
      <x:c r="D30" s="11"/>
      <x:c r="E30" s="11"/>
      <x:c r="F30" s="11"/>
      <x:c r="G30" s="11"/>
      <x:c r="H30" s="12" t="str">
        <x:f>IF(A30="","",IF(OR(B30="",B30="None"),IF(OR(C30="",C30=0),"Ready","Check rate"),IF(AND(B30&lt;&gt;"Fixed",B30&lt;&gt;"Percent"),"Set mode",IF(COUNT(C30)&lt;&gt;1,"Set rate",IF(OR(C30&lt;0,ROUND(C30,2)&lt;&gt;C30,AND(B30="Percent",C30&gt;100)),"Check rate","Ready")))))</x:f>
      </x:c>
    </x:row>
    <x:row r="31" ht="28" customHeight="1">
      <x:c r="A31" s="11"/>
      <x:c r="B31" s="11"/>
      <x:c r="C31" s="27"/>
      <x:c r="D31" s="11"/>
      <x:c r="E31" s="11"/>
      <x:c r="F31" s="11"/>
      <x:c r="G31" s="11"/>
      <x:c r="H31" s="12" t="str">
        <x:f>IF(A31="","",IF(OR(B31="",B31="None"),IF(OR(C31="",C31=0),"Ready","Check rate"),IF(AND(B31&lt;&gt;"Fixed",B31&lt;&gt;"Percent"),"Set mode",IF(COUNT(C31)&lt;&gt;1,"Set rate",IF(OR(C31&lt;0,ROUND(C31,2)&lt;&gt;C31,AND(B31="Percent",C31&gt;100)),"Check rate","Ready")))))</x:f>
      </x:c>
    </x:row>
    <x:row r="32" ht="28" customHeight="1">
      <x:c r="A32" s="11"/>
      <x:c r="B32" s="11"/>
      <x:c r="C32" s="27"/>
      <x:c r="D32" s="11"/>
      <x:c r="E32" s="11"/>
      <x:c r="F32" s="11"/>
      <x:c r="G32" s="11"/>
      <x:c r="H32" s="12" t="str">
        <x:f>IF(A32="","",IF(OR(B32="",B32="None"),IF(OR(C32="",C32=0),"Ready","Check rate"),IF(AND(B32&lt;&gt;"Fixed",B32&lt;&gt;"Percent"),"Set mode",IF(COUNT(C32)&lt;&gt;1,"Set rate",IF(OR(C32&lt;0,ROUND(C32,2)&lt;&gt;C32,AND(B32="Percent",C32&gt;100)),"Check rate","Ready")))))</x:f>
      </x:c>
    </x:row>
    <x:row r="33" ht="28" customHeight="1">
      <x:c r="A33" s="11"/>
      <x:c r="B33" s="11"/>
      <x:c r="C33" s="27"/>
      <x:c r="D33" s="11"/>
      <x:c r="E33" s="11"/>
      <x:c r="F33" s="11"/>
      <x:c r="G33" s="11"/>
      <x:c r="H33" s="12" t="str">
        <x:f>IF(A33="","",IF(OR(B33="",B33="None"),IF(OR(C33="",C33=0),"Ready","Check rate"),IF(AND(B33&lt;&gt;"Fixed",B33&lt;&gt;"Percent"),"Set mode",IF(COUNT(C33)&lt;&gt;1,"Set rate",IF(OR(C33&lt;0,ROUND(C33,2)&lt;&gt;C33,AND(B33="Percent",C33&gt;100)),"Check rate","Ready")))))</x:f>
      </x:c>
    </x:row>
    <x:row r="34" ht="28" customHeight="1">
      <x:c r="A34" s="11"/>
      <x:c r="B34" s="11"/>
      <x:c r="C34" s="27"/>
      <x:c r="D34" s="11"/>
      <x:c r="E34" s="11"/>
      <x:c r="F34" s="11"/>
      <x:c r="G34" s="11"/>
      <x:c r="H34" s="12" t="str">
        <x:f>IF(A34="","",IF(OR(B34="",B34="None"),IF(OR(C34="",C34=0),"Ready","Check rate"),IF(AND(B34&lt;&gt;"Fixed",B34&lt;&gt;"Percent"),"Set mode",IF(COUNT(C34)&lt;&gt;1,"Set rate",IF(OR(C34&lt;0,ROUND(C34,2)&lt;&gt;C34,AND(B34="Percent",C34&gt;100)),"Check rate","Ready")))))</x:f>
      </x:c>
    </x:row>
    <x:row r="35" ht="28" customHeight="1">
      <x:c r="A35" s="11"/>
      <x:c r="B35" s="11"/>
      <x:c r="C35" s="27"/>
      <x:c r="D35" s="11"/>
      <x:c r="E35" s="11"/>
      <x:c r="F35" s="11"/>
      <x:c r="G35" s="11"/>
      <x:c r="H35" s="12" t="str">
        <x:f>IF(A35="","",IF(OR(B35="",B35="None"),IF(OR(C35="",C35=0),"Ready","Check rate"),IF(AND(B35&lt;&gt;"Fixed",B35&lt;&gt;"Percent"),"Set mode",IF(COUNT(C35)&lt;&gt;1,"Set rate",IF(OR(C35&lt;0,ROUND(C35,2)&lt;&gt;C35,AND(B35="Percent",C35&gt;100)),"Check rate","Ready")))))</x:f>
      </x:c>
    </x:row>
    <x:row r="36" ht="28" customHeight="1">
      <x:c r="A36" s="11"/>
      <x:c r="B36" s="11"/>
      <x:c r="C36" s="27"/>
      <x:c r="D36" s="11"/>
      <x:c r="E36" s="11"/>
      <x:c r="F36" s="11"/>
      <x:c r="G36" s="11"/>
      <x:c r="H36" s="12" t="str">
        <x:f>IF(A36="","",IF(OR(B36="",B36="None"),IF(OR(C36="",C36=0),"Ready","Check rate"),IF(AND(B36&lt;&gt;"Fixed",B36&lt;&gt;"Percent"),"Set mode",IF(COUNT(C36)&lt;&gt;1,"Set rate",IF(OR(C36&lt;0,ROUND(C36,2)&lt;&gt;C36,AND(B36="Percent",C36&gt;100)),"Check rate","Ready")))))</x:f>
      </x:c>
    </x:row>
    <x:row r="37" ht="28" customHeight="1">
      <x:c r="A37" s="11"/>
      <x:c r="B37" s="11"/>
      <x:c r="C37" s="27"/>
      <x:c r="D37" s="11"/>
      <x:c r="E37" s="11"/>
      <x:c r="F37" s="11"/>
      <x:c r="G37" s="11"/>
      <x:c r="H37" s="12" t="str">
        <x:f>IF(A37="","",IF(OR(B37="",B37="None"),IF(OR(C37="",C37=0),"Ready","Check rate"),IF(AND(B37&lt;&gt;"Fixed",B37&lt;&gt;"Percent"),"Set mode",IF(COUNT(C37)&lt;&gt;1,"Set rate",IF(OR(C37&lt;0,ROUND(C37,2)&lt;&gt;C37,AND(B37="Percent",C37&gt;100)),"Check rate","Ready")))))</x:f>
      </x:c>
    </x:row>
    <x:row r="38" ht="28" customHeight="1">
      <x:c r="A38" s="11"/>
      <x:c r="B38" s="11"/>
      <x:c r="C38" s="27"/>
      <x:c r="D38" s="11"/>
      <x:c r="E38" s="11"/>
      <x:c r="F38" s="11"/>
      <x:c r="G38" s="11"/>
      <x:c r="H38" s="12" t="str">
        <x:f>IF(A38="","",IF(OR(B38="",B38="None"),IF(OR(C38="",C38=0),"Ready","Check rate"),IF(AND(B38&lt;&gt;"Fixed",B38&lt;&gt;"Percent"),"Set mode",IF(COUNT(C38)&lt;&gt;1,"Set rate",IF(OR(C38&lt;0,ROUND(C38,2)&lt;&gt;C38,AND(B38="Percent",C38&gt;100)),"Check rate","Ready")))))</x:f>
      </x:c>
    </x:row>
    <x:row r="39" ht="28" customHeight="1">
      <x:c r="A39" s="11"/>
      <x:c r="B39" s="11"/>
      <x:c r="C39" s="27"/>
      <x:c r="D39" s="11"/>
      <x:c r="E39" s="11"/>
      <x:c r="F39" s="11"/>
      <x:c r="G39" s="11"/>
      <x:c r="H39" s="12" t="str">
        <x:f>IF(A39="","",IF(OR(B39="",B39="None"),IF(OR(C39="",C39=0),"Ready","Check rate"),IF(AND(B39&lt;&gt;"Fixed",B39&lt;&gt;"Percent"),"Set mode",IF(COUNT(C39)&lt;&gt;1,"Set rate",IF(OR(C39&lt;0,ROUND(C39,2)&lt;&gt;C39,AND(B39="Percent",C39&gt;100)),"Check rate","Ready")))))</x:f>
      </x:c>
    </x:row>
    <x:row r="40" ht="28" customHeight="1">
      <x:c r="A40" s="11"/>
      <x:c r="B40" s="11"/>
      <x:c r="C40" s="27"/>
      <x:c r="D40" s="11"/>
      <x:c r="E40" s="11"/>
      <x:c r="F40" s="11"/>
      <x:c r="G40" s="11"/>
      <x:c r="H40" s="12" t="str">
        <x:f>IF(A40="","",IF(OR(B40="",B40="None"),IF(OR(C40="",C40=0),"Ready","Check rate"),IF(AND(B40&lt;&gt;"Fixed",B40&lt;&gt;"Percent"),"Set mode",IF(COUNT(C40)&lt;&gt;1,"Set rate",IF(OR(C40&lt;0,ROUND(C40,2)&lt;&gt;C40,AND(B40="Percent",C40&gt;100)),"Check rate","Ready")))))</x:f>
      </x:c>
    </x:row>
    <x:row r="41" ht="28" customHeight="1">
      <x:c r="A41" s="11"/>
      <x:c r="B41" s="11"/>
      <x:c r="C41" s="27"/>
      <x:c r="D41" s="11"/>
      <x:c r="E41" s="11"/>
      <x:c r="F41" s="11"/>
      <x:c r="G41" s="11"/>
      <x:c r="H41" s="12" t="str">
        <x:f>IF(A41="","",IF(OR(B41="",B41="None"),IF(OR(C41="",C41=0),"Ready","Check rate"),IF(AND(B41&lt;&gt;"Fixed",B41&lt;&gt;"Percent"),"Set mode",IF(COUNT(C41)&lt;&gt;1,"Set rate",IF(OR(C41&lt;0,ROUND(C41,2)&lt;&gt;C41,AND(B41="Percent",C41&gt;100)),"Check rate","Ready")))))</x:f>
      </x:c>
    </x:row>
    <x:row r="42" ht="28" customHeight="1">
      <x:c r="A42" s="11"/>
      <x:c r="B42" s="11"/>
      <x:c r="C42" s="27"/>
      <x:c r="D42" s="11"/>
      <x:c r="E42" s="11"/>
      <x:c r="F42" s="11"/>
      <x:c r="G42" s="11"/>
      <x:c r="H42" s="12" t="str">
        <x:f>IF(A42="","",IF(OR(B42="",B42="None"),IF(OR(C42="",C42=0),"Ready","Check rate"),IF(AND(B42&lt;&gt;"Fixed",B42&lt;&gt;"Percent"),"Set mode",IF(COUNT(C42)&lt;&gt;1,"Set rate",IF(OR(C42&lt;0,ROUND(C42,2)&lt;&gt;C42,AND(B42="Percent",C42&gt;100)),"Check rate","Ready")))))</x:f>
      </x:c>
    </x:row>
    <x:row r="43" ht="28" customHeight="1">
      <x:c r="A43" s="11"/>
      <x:c r="B43" s="11"/>
      <x:c r="C43" s="27"/>
      <x:c r="D43" s="11"/>
      <x:c r="E43" s="11"/>
      <x:c r="F43" s="11"/>
      <x:c r="G43" s="11"/>
      <x:c r="H43" s="12" t="str">
        <x:f>IF(A43="","",IF(OR(B43="",B43="None"),IF(OR(C43="",C43=0),"Ready","Check rate"),IF(AND(B43&lt;&gt;"Fixed",B43&lt;&gt;"Percent"),"Set mode",IF(COUNT(C43)&lt;&gt;1,"Set rate",IF(OR(C43&lt;0,ROUND(C43,2)&lt;&gt;C43,AND(B43="Percent",C43&gt;100)),"Check rate","Ready")))))</x:f>
      </x:c>
    </x:row>
    <x:row r="44" ht="28" customHeight="1">
      <x:c r="A44" s="11"/>
      <x:c r="B44" s="11"/>
      <x:c r="C44" s="27"/>
      <x:c r="D44" s="11"/>
      <x:c r="E44" s="11"/>
      <x:c r="F44" s="11"/>
      <x:c r="G44" s="11"/>
      <x:c r="H44" s="12" t="str">
        <x:f>IF(A44="","",IF(OR(B44="",B44="None"),IF(OR(C44="",C44=0),"Ready","Check rate"),IF(AND(B44&lt;&gt;"Fixed",B44&lt;&gt;"Percent"),"Set mode",IF(COUNT(C44)&lt;&gt;1,"Set rate",IF(OR(C44&lt;0,ROUND(C44,2)&lt;&gt;C44,AND(B44="Percent",C44&gt;100)),"Check rate","Ready")))))</x:f>
      </x:c>
    </x:row>
    <x:row r="45" ht="28" customHeight="1">
      <x:c r="A45" s="11"/>
      <x:c r="B45" s="11"/>
      <x:c r="C45" s="27"/>
      <x:c r="D45" s="11"/>
      <x:c r="E45" s="11"/>
      <x:c r="F45" s="11"/>
      <x:c r="G45" s="11"/>
      <x:c r="H45" s="12" t="str">
        <x:f>IF(A45="","",IF(OR(B45="",B45="None"),IF(OR(C45="",C45=0),"Ready","Check rate"),IF(AND(B45&lt;&gt;"Fixed",B45&lt;&gt;"Percent"),"Set mode",IF(COUNT(C45)&lt;&gt;1,"Set rate",IF(OR(C45&lt;0,ROUND(C45,2)&lt;&gt;C45,AND(B45="Percent",C45&gt;100)),"Check rate","Ready")))))</x:f>
      </x:c>
    </x:row>
    <x:row r="46" ht="28" customHeight="1">
      <x:c r="A46" s="11"/>
      <x:c r="B46" s="11"/>
      <x:c r="C46" s="27"/>
      <x:c r="D46" s="11"/>
      <x:c r="E46" s="11"/>
      <x:c r="F46" s="11"/>
      <x:c r="G46" s="11"/>
      <x:c r="H46" s="12" t="str">
        <x:f>IF(A46="","",IF(OR(B46="",B46="None"),IF(OR(C46="",C46=0),"Ready","Check rate"),IF(AND(B46&lt;&gt;"Fixed",B46&lt;&gt;"Percent"),"Set mode",IF(COUNT(C46)&lt;&gt;1,"Set rate",IF(OR(C46&lt;0,ROUND(C46,2)&lt;&gt;C46,AND(B46="Percent",C46&gt;100)),"Check rate","Ready")))))</x:f>
      </x:c>
    </x:row>
    <x:row r="47" ht="28" customHeight="1">
      <x:c r="A47" s="11"/>
      <x:c r="B47" s="11"/>
      <x:c r="C47" s="27"/>
      <x:c r="D47" s="11"/>
      <x:c r="E47" s="11"/>
      <x:c r="F47" s="11"/>
      <x:c r="G47" s="11"/>
      <x:c r="H47" s="12" t="str">
        <x:f>IF(A47="","",IF(OR(B47="",B47="None"),IF(OR(C47="",C47=0),"Ready","Check rate"),IF(AND(B47&lt;&gt;"Fixed",B47&lt;&gt;"Percent"),"Set mode",IF(COUNT(C47)&lt;&gt;1,"Set rate",IF(OR(C47&lt;0,ROUND(C47,2)&lt;&gt;C47,AND(B47="Percent",C47&gt;100)),"Check rate","Ready")))))</x:f>
      </x:c>
    </x:row>
    <x:row r="48" ht="28" customHeight="1">
      <x:c r="A48" s="11"/>
      <x:c r="B48" s="11"/>
      <x:c r="C48" s="27"/>
      <x:c r="D48" s="11"/>
      <x:c r="E48" s="11"/>
      <x:c r="F48" s="11"/>
      <x:c r="G48" s="11"/>
      <x:c r="H48" s="12" t="str">
        <x:f>IF(A48="","",IF(OR(B48="",B48="None"),IF(OR(C48="",C48=0),"Ready","Check rate"),IF(AND(B48&lt;&gt;"Fixed",B48&lt;&gt;"Percent"),"Set mode",IF(COUNT(C48)&lt;&gt;1,"Set rate",IF(OR(C48&lt;0,ROUND(C48,2)&lt;&gt;C48,AND(B48="Percent",C48&gt;100)),"Check rate","Ready")))))</x:f>
      </x:c>
    </x:row>
    <x:row r="49" ht="28" customHeight="1">
      <x:c r="A49" s="11"/>
      <x:c r="B49" s="11"/>
      <x:c r="C49" s="27"/>
      <x:c r="D49" s="11"/>
      <x:c r="E49" s="11"/>
      <x:c r="F49" s="11"/>
      <x:c r="G49" s="11"/>
      <x:c r="H49" s="12" t="str">
        <x:f>IF(A49="","",IF(OR(B49="",B49="None"),IF(OR(C49="",C49=0),"Ready","Check rate"),IF(AND(B49&lt;&gt;"Fixed",B49&lt;&gt;"Percent"),"Set mode",IF(COUNT(C49)&lt;&gt;1,"Set rate",IF(OR(C49&lt;0,ROUND(C49,2)&lt;&gt;C49,AND(B49="Percent",C49&gt;100)),"Check rate","Ready")))))</x:f>
      </x:c>
    </x:row>
    <x:row r="50" ht="28" customHeight="1">
      <x:c r="A50" s="11"/>
      <x:c r="B50" s="11"/>
      <x:c r="C50" s="27"/>
      <x:c r="D50" s="11"/>
      <x:c r="E50" s="11"/>
      <x:c r="F50" s="11"/>
      <x:c r="G50" s="11"/>
      <x:c r="H50" s="12" t="str">
        <x:f>IF(A50="","",IF(OR(B50="",B50="None"),IF(OR(C50="",C50=0),"Ready","Check rate"),IF(AND(B50&lt;&gt;"Fixed",B50&lt;&gt;"Percent"),"Set mode",IF(COUNT(C50)&lt;&gt;1,"Set rate",IF(OR(C50&lt;0,ROUND(C50,2)&lt;&gt;C50,AND(B50="Percent",C50&gt;100)),"Check rate","Ready")))))</x:f>
      </x:c>
    </x:row>
    <x:row r="51" ht="28" customHeight="1">
      <x:c r="A51" s="11"/>
      <x:c r="B51" s="11"/>
      <x:c r="C51" s="27"/>
      <x:c r="D51" s="11"/>
      <x:c r="E51" s="11"/>
      <x:c r="F51" s="11"/>
      <x:c r="G51" s="11"/>
      <x:c r="H51" s="12" t="str">
        <x:f>IF(A51="","",IF(OR(B51="",B51="None"),IF(OR(C51="",C51=0),"Ready","Check rate"),IF(AND(B51&lt;&gt;"Fixed",B51&lt;&gt;"Percent"),"Set mode",IF(COUNT(C51)&lt;&gt;1,"Set rate",IF(OR(C51&lt;0,ROUND(C51,2)&lt;&gt;C51,AND(B51="Percent",C51&gt;100)),"Check rate","Ready")))))</x:f>
      </x:c>
    </x:row>
    <x:row r="52" ht="28" customHeight="1">
      <x:c r="A52" s="11"/>
      <x:c r="B52" s="11"/>
      <x:c r="C52" s="27"/>
      <x:c r="D52" s="11"/>
      <x:c r="E52" s="11"/>
      <x:c r="F52" s="11"/>
      <x:c r="G52" s="11"/>
      <x:c r="H52" s="12" t="str">
        <x:f>IF(A52="","",IF(OR(B52="",B52="None"),IF(OR(C52="",C52=0),"Ready","Check rate"),IF(AND(B52&lt;&gt;"Fixed",B52&lt;&gt;"Percent"),"Set mode",IF(COUNT(C52)&lt;&gt;1,"Set rate",IF(OR(C52&lt;0,ROUND(C52,2)&lt;&gt;C52,AND(B52="Percent",C52&gt;100)),"Check rate","Ready")))))</x:f>
      </x:c>
    </x:row>
    <x:row r="53" ht="28" customHeight="1">
      <x:c r="A53" s="11"/>
      <x:c r="B53" s="11"/>
      <x:c r="C53" s="27"/>
      <x:c r="D53" s="11"/>
      <x:c r="E53" s="11"/>
      <x:c r="F53" s="11"/>
      <x:c r="G53" s="11"/>
      <x:c r="H53" s="12" t="str">
        <x:f>IF(A53="","",IF(OR(B53="",B53="None"),IF(OR(C53="",C53=0),"Ready","Check rate"),IF(AND(B53&lt;&gt;"Fixed",B53&lt;&gt;"Percent"),"Set mode",IF(COUNT(C53)&lt;&gt;1,"Set rate",IF(OR(C53&lt;0,ROUND(C53,2)&lt;&gt;C53,AND(B53="Percent",C53&gt;100)),"Check rate","Ready")))))</x:f>
      </x:c>
    </x:row>
    <x:row r="54" ht="28" customHeight="1">
      <x:c r="A54" s="11"/>
      <x:c r="B54" s="11"/>
      <x:c r="C54" s="27"/>
      <x:c r="D54" s="11"/>
      <x:c r="E54" s="11"/>
      <x:c r="F54" s="11"/>
      <x:c r="G54" s="11"/>
      <x:c r="H54" s="12" t="str">
        <x:f>IF(A54="","",IF(OR(B54="",B54="None"),IF(OR(C54="",C54=0),"Ready","Check rate"),IF(AND(B54&lt;&gt;"Fixed",B54&lt;&gt;"Percent"),"Set mode",IF(COUNT(C54)&lt;&gt;1,"Set rate",IF(OR(C54&lt;0,ROUND(C54,2)&lt;&gt;C54,AND(B54="Percent",C54&gt;100)),"Check rate","Ready")))))</x:f>
      </x:c>
    </x:row>
    <x:row r="55" ht="28" customHeight="1">
      <x:c r="A55" s="11"/>
      <x:c r="B55" s="11"/>
      <x:c r="C55" s="27"/>
      <x:c r="D55" s="11"/>
      <x:c r="E55" s="11"/>
      <x:c r="F55" s="11"/>
      <x:c r="G55" s="11"/>
      <x:c r="H55" s="12" t="str">
        <x:f>IF(A55="","",IF(OR(B55="",B55="None"),IF(OR(C55="",C55=0),"Ready","Check rate"),IF(AND(B55&lt;&gt;"Fixed",B55&lt;&gt;"Percent"),"Set mode",IF(COUNT(C55)&lt;&gt;1,"Set rate",IF(OR(C55&lt;0,ROUND(C55,2)&lt;&gt;C55,AND(B55="Percent",C55&gt;100)),"Check rate","Ready")))))</x:f>
      </x:c>
    </x:row>
    <x:row r="56" ht="28" customHeight="1">
      <x:c r="A56" s="11"/>
      <x:c r="B56" s="11"/>
      <x:c r="C56" s="27"/>
      <x:c r="D56" s="11"/>
      <x:c r="E56" s="11"/>
      <x:c r="F56" s="11"/>
      <x:c r="G56" s="11"/>
      <x:c r="H56" s="12" t="str">
        <x:f>IF(A56="","",IF(OR(B56="",B56="None"),IF(OR(C56="",C56=0),"Ready","Check rate"),IF(AND(B56&lt;&gt;"Fixed",B56&lt;&gt;"Percent"),"Set mode",IF(COUNT(C56)&lt;&gt;1,"Set rate",IF(OR(C56&lt;0,ROUND(C56,2)&lt;&gt;C56,AND(B56="Percent",C56&gt;100)),"Check rate","Ready")))))</x:f>
      </x:c>
    </x:row>
    <x:row r="57" ht="28" customHeight="1">
      <x:c r="A57" s="11"/>
      <x:c r="B57" s="11"/>
      <x:c r="C57" s="27"/>
      <x:c r="D57" s="11"/>
      <x:c r="E57" s="11"/>
      <x:c r="F57" s="11"/>
      <x:c r="G57" s="11"/>
      <x:c r="H57" s="12" t="str">
        <x:f>IF(A57="","",IF(OR(B57="",B57="None"),IF(OR(C57="",C57=0),"Ready","Check rate"),IF(AND(B57&lt;&gt;"Fixed",B57&lt;&gt;"Percent"),"Set mode",IF(COUNT(C57)&lt;&gt;1,"Set rate",IF(OR(C57&lt;0,ROUND(C57,2)&lt;&gt;C57,AND(B57="Percent",C57&gt;100)),"Check rate","Ready")))))</x:f>
      </x:c>
    </x:row>
    <x:row r="58" ht="28" customHeight="1">
      <x:c r="A58" s="11"/>
      <x:c r="B58" s="11"/>
      <x:c r="C58" s="27"/>
      <x:c r="D58" s="11"/>
      <x:c r="E58" s="11"/>
      <x:c r="F58" s="11"/>
      <x:c r="G58" s="11"/>
      <x:c r="H58" s="12" t="str">
        <x:f>IF(A58="","",IF(OR(B58="",B58="None"),IF(OR(C58="",C58=0),"Ready","Check rate"),IF(AND(B58&lt;&gt;"Fixed",B58&lt;&gt;"Percent"),"Set mode",IF(COUNT(C58)&lt;&gt;1,"Set rate",IF(OR(C58&lt;0,ROUND(C58,2)&lt;&gt;C58,AND(B58="Percent",C58&gt;100)),"Check rate","Ready")))))</x:f>
      </x:c>
    </x:row>
    <x:row r="59" ht="28" customHeight="1">
      <x:c r="A59" s="11"/>
      <x:c r="B59" s="11"/>
      <x:c r="C59" s="27"/>
      <x:c r="D59" s="11"/>
      <x:c r="E59" s="11"/>
      <x:c r="F59" s="11"/>
      <x:c r="G59" s="11"/>
      <x:c r="H59" s="12" t="str">
        <x:f>IF(A59="","",IF(OR(B59="",B59="None"),IF(OR(C59="",C59=0),"Ready","Check rate"),IF(AND(B59&lt;&gt;"Fixed",B59&lt;&gt;"Percent"),"Set mode",IF(COUNT(C59)&lt;&gt;1,"Set rate",IF(OR(C59&lt;0,ROUND(C59,2)&lt;&gt;C59,AND(B59="Percent",C59&gt;100)),"Check rate","Ready")))))</x:f>
      </x:c>
    </x:row>
    <x:row r="60" ht="28" customHeight="1">
      <x:c r="A60" s="11"/>
      <x:c r="B60" s="11"/>
      <x:c r="C60" s="27"/>
      <x:c r="D60" s="11"/>
      <x:c r="E60" s="11"/>
      <x:c r="F60" s="11"/>
      <x:c r="G60" s="11"/>
      <x:c r="H60" s="12" t="str">
        <x:f>IF(A60="","",IF(OR(B60="",B60="None"),IF(OR(C60="",C60=0),"Ready","Check rate"),IF(AND(B60&lt;&gt;"Fixed",B60&lt;&gt;"Percent"),"Set mode",IF(COUNT(C60)&lt;&gt;1,"Set rate",IF(OR(C60&lt;0,ROUND(C60,2)&lt;&gt;C60,AND(B60="Percent",C60&gt;100)),"Check rate","Ready")))))</x:f>
      </x:c>
    </x:row>
    <x:row r="61" ht="28" customHeight="1">
      <x:c r="A61" s="11"/>
      <x:c r="B61" s="11"/>
      <x:c r="C61" s="27"/>
      <x:c r="D61" s="11"/>
      <x:c r="E61" s="11"/>
      <x:c r="F61" s="11"/>
      <x:c r="G61" s="11"/>
      <x:c r="H61" s="12" t="str">
        <x:f>IF(A61="","",IF(OR(B61="",B61="None"),IF(OR(C61="",C61=0),"Ready","Check rate"),IF(AND(B61&lt;&gt;"Fixed",B61&lt;&gt;"Percent"),"Set mode",IF(COUNT(C61)&lt;&gt;1,"Set rate",IF(OR(C61&lt;0,ROUND(C61,2)&lt;&gt;C61,AND(B61="Percent",C61&gt;100)),"Check rate","Ready")))))</x:f>
      </x:c>
    </x:row>
    <x:row r="62" ht="28" customHeight="1">
      <x:c r="A62" s="11"/>
      <x:c r="B62" s="11"/>
      <x:c r="C62" s="27"/>
      <x:c r="D62" s="11"/>
      <x:c r="E62" s="11"/>
      <x:c r="F62" s="11"/>
      <x:c r="G62" s="11"/>
      <x:c r="H62" s="12" t="str">
        <x:f>IF(A62="","",IF(OR(B62="",B62="None"),IF(OR(C62="",C62=0),"Ready","Check rate"),IF(AND(B62&lt;&gt;"Fixed",B62&lt;&gt;"Percent"),"Set mode",IF(COUNT(C62)&lt;&gt;1,"Set rate",IF(OR(C62&lt;0,ROUND(C62,2)&lt;&gt;C62,AND(B62="Percent",C62&gt;100)),"Check rate","Ready")))))</x:f>
      </x:c>
    </x:row>
    <x:row r="63" ht="28" customHeight="1">
      <x:c r="A63" s="11"/>
      <x:c r="B63" s="11"/>
      <x:c r="C63" s="27"/>
      <x:c r="D63" s="11"/>
      <x:c r="E63" s="11"/>
      <x:c r="F63" s="11"/>
      <x:c r="G63" s="11"/>
      <x:c r="H63" s="12" t="str">
        <x:f>IF(A63="","",IF(OR(B63="",B63="None"),IF(OR(C63="",C63=0),"Ready","Check rate"),IF(AND(B63&lt;&gt;"Fixed",B63&lt;&gt;"Percent"),"Set mode",IF(COUNT(C63)&lt;&gt;1,"Set rate",IF(OR(C63&lt;0,ROUND(C63,2)&lt;&gt;C63,AND(B63="Percent",C63&gt;100)),"Check rate","Ready")))))</x:f>
      </x:c>
    </x:row>
    <x:row r="64" ht="28" customHeight="1">
      <x:c r="A64" s="11"/>
      <x:c r="B64" s="11"/>
      <x:c r="C64" s="27"/>
      <x:c r="D64" s="11"/>
      <x:c r="E64" s="11"/>
      <x:c r="F64" s="11"/>
      <x:c r="G64" s="11"/>
      <x:c r="H64" s="12" t="str">
        <x:f>IF(A64="","",IF(OR(B64="",B64="None"),IF(OR(C64="",C64=0),"Ready","Check rate"),IF(AND(B64&lt;&gt;"Fixed",B64&lt;&gt;"Percent"),"Set mode",IF(COUNT(C64)&lt;&gt;1,"Set rate",IF(OR(C64&lt;0,ROUND(C64,2)&lt;&gt;C64,AND(B64="Percent",C64&gt;100)),"Check rate","Ready")))))</x:f>
      </x:c>
    </x:row>
    <x:row r="65" ht="28" customHeight="1">
      <x:c r="A65" s="11"/>
      <x:c r="B65" s="11"/>
      <x:c r="C65" s="27"/>
      <x:c r="D65" s="11"/>
      <x:c r="E65" s="11"/>
      <x:c r="F65" s="11"/>
      <x:c r="G65" s="11"/>
      <x:c r="H65" s="12" t="str">
        <x:f>IF(A65="","",IF(OR(B65="",B65="None"),IF(OR(C65="",C65=0),"Ready","Check rate"),IF(AND(B65&lt;&gt;"Fixed",B65&lt;&gt;"Percent"),"Set mode",IF(COUNT(C65)&lt;&gt;1,"Set rate",IF(OR(C65&lt;0,ROUND(C65,2)&lt;&gt;C65,AND(B65="Percent",C65&gt;100)),"Check rate","Ready")))))</x:f>
      </x:c>
    </x:row>
    <x:row r="66" ht="28" customHeight="1">
      <x:c r="A66" s="11"/>
      <x:c r="B66" s="11"/>
      <x:c r="C66" s="27"/>
      <x:c r="D66" s="11"/>
      <x:c r="E66" s="11"/>
      <x:c r="F66" s="11"/>
      <x:c r="G66" s="11"/>
      <x:c r="H66" s="12" t="str">
        <x:f>IF(A66="","",IF(OR(B66="",B66="None"),IF(OR(C66="",C66=0),"Ready","Check rate"),IF(AND(B66&lt;&gt;"Fixed",B66&lt;&gt;"Percent"),"Set mode",IF(COUNT(C66)&lt;&gt;1,"Set rate",IF(OR(C66&lt;0,ROUND(C66,2)&lt;&gt;C66,AND(B66="Percent",C66&gt;100)),"Check rate","Ready")))))</x:f>
      </x:c>
    </x:row>
    <x:row r="67" ht="28" customHeight="1">
      <x:c r="A67" s="11"/>
      <x:c r="B67" s="11"/>
      <x:c r="C67" s="27"/>
      <x:c r="D67" s="11"/>
      <x:c r="E67" s="11"/>
      <x:c r="F67" s="11"/>
      <x:c r="G67" s="11"/>
      <x:c r="H67" s="12" t="str">
        <x:f>IF(A67="","",IF(OR(B67="",B67="None"),IF(OR(C67="",C67=0),"Ready","Check rate"),IF(AND(B67&lt;&gt;"Fixed",B67&lt;&gt;"Percent"),"Set mode",IF(COUNT(C67)&lt;&gt;1,"Set rate",IF(OR(C67&lt;0,ROUND(C67,2)&lt;&gt;C67,AND(B67="Percent",C67&gt;100)),"Check rate","Ready")))))</x:f>
      </x:c>
    </x:row>
    <x:row r="68" ht="28" customHeight="1">
      <x:c r="A68" s="11"/>
      <x:c r="B68" s="11"/>
      <x:c r="C68" s="27"/>
      <x:c r="D68" s="11"/>
      <x:c r="E68" s="11"/>
      <x:c r="F68" s="11"/>
      <x:c r="G68" s="11"/>
      <x:c r="H68" s="12" t="str">
        <x:f>IF(A68="","",IF(OR(B68="",B68="None"),IF(OR(C68="",C68=0),"Ready","Check rate"),IF(AND(B68&lt;&gt;"Fixed",B68&lt;&gt;"Percent"),"Set mode",IF(COUNT(C68)&lt;&gt;1,"Set rate",IF(OR(C68&lt;0,ROUND(C68,2)&lt;&gt;C68,AND(B68="Percent",C68&gt;100)),"Check rate","Ready")))))</x:f>
      </x:c>
    </x:row>
    <x:row r="69" ht="28" customHeight="1">
      <x:c r="A69" s="11"/>
      <x:c r="B69" s="11"/>
      <x:c r="C69" s="27"/>
      <x:c r="D69" s="11"/>
      <x:c r="E69" s="11"/>
      <x:c r="F69" s="11"/>
      <x:c r="G69" s="11"/>
      <x:c r="H69" s="12" t="str">
        <x:f>IF(A69="","",IF(OR(B69="",B69="None"),IF(OR(C69="",C69=0),"Ready","Check rate"),IF(AND(B69&lt;&gt;"Fixed",B69&lt;&gt;"Percent"),"Set mode",IF(COUNT(C69)&lt;&gt;1,"Set rate",IF(OR(C69&lt;0,ROUND(C69,2)&lt;&gt;C69,AND(B69="Percent",C69&gt;100)),"Check rate","Ready")))))</x:f>
      </x:c>
    </x:row>
    <x:row r="70" ht="28" customHeight="1">
      <x:c r="A70" s="11"/>
      <x:c r="B70" s="11"/>
      <x:c r="C70" s="27"/>
      <x:c r="D70" s="11"/>
      <x:c r="E70" s="11"/>
      <x:c r="F70" s="11"/>
      <x:c r="G70" s="11"/>
      <x:c r="H70" s="12" t="str">
        <x:f>IF(A70="","",IF(OR(B70="",B70="None"),IF(OR(C70="",C70=0),"Ready","Check rate"),IF(AND(B70&lt;&gt;"Fixed",B70&lt;&gt;"Percent"),"Set mode",IF(COUNT(C70)&lt;&gt;1,"Set rate",IF(OR(C70&lt;0,ROUND(C70,2)&lt;&gt;C70,AND(B70="Percent",C70&gt;100)),"Check rate","Ready")))))</x:f>
      </x:c>
    </x:row>
    <x:row r="71" ht="28" customHeight="1">
      <x:c r="A71" s="11"/>
      <x:c r="B71" s="11"/>
      <x:c r="C71" s="27"/>
      <x:c r="D71" s="11"/>
      <x:c r="E71" s="11"/>
      <x:c r="F71" s="11"/>
      <x:c r="G71" s="11"/>
      <x:c r="H71" s="12" t="str">
        <x:f>IF(A71="","",IF(OR(B71="",B71="None"),IF(OR(C71="",C71=0),"Ready","Check rate"),IF(AND(B71&lt;&gt;"Fixed",B71&lt;&gt;"Percent"),"Set mode",IF(COUNT(C71)&lt;&gt;1,"Set rate",IF(OR(C71&lt;0,ROUND(C71,2)&lt;&gt;C71,AND(B71="Percent",C71&gt;100)),"Check rate","Ready")))))</x:f>
      </x:c>
    </x:row>
    <x:row r="72" ht="28" customHeight="1">
      <x:c r="A72" s="11"/>
      <x:c r="B72" s="11"/>
      <x:c r="C72" s="27"/>
      <x:c r="D72" s="11"/>
      <x:c r="E72" s="11"/>
      <x:c r="F72" s="11"/>
      <x:c r="G72" s="11"/>
      <x:c r="H72" s="12" t="str">
        <x:f>IF(A72="","",IF(OR(B72="",B72="None"),IF(OR(C72="",C72=0),"Ready","Check rate"),IF(AND(B72&lt;&gt;"Fixed",B72&lt;&gt;"Percent"),"Set mode",IF(COUNT(C72)&lt;&gt;1,"Set rate",IF(OR(C72&lt;0,ROUND(C72,2)&lt;&gt;C72,AND(B72="Percent",C72&gt;100)),"Check rate","Ready")))))</x:f>
      </x:c>
    </x:row>
    <x:row r="73" ht="28" customHeight="1">
      <x:c r="A73" s="11"/>
      <x:c r="B73" s="11"/>
      <x:c r="C73" s="27"/>
      <x:c r="D73" s="11"/>
      <x:c r="E73" s="11"/>
      <x:c r="F73" s="11"/>
      <x:c r="G73" s="11"/>
      <x:c r="H73" s="12" t="str">
        <x:f>IF(A73="","",IF(OR(B73="",B73="None"),IF(OR(C73="",C73=0),"Ready","Check rate"),IF(AND(B73&lt;&gt;"Fixed",B73&lt;&gt;"Percent"),"Set mode",IF(COUNT(C73)&lt;&gt;1,"Set rate",IF(OR(C73&lt;0,ROUND(C73,2)&lt;&gt;C73,AND(B73="Percent",C73&gt;100)),"Check rate","Ready")))))</x:f>
      </x:c>
    </x:row>
    <x:row r="74" ht="28" customHeight="1">
      <x:c r="A74" s="11"/>
      <x:c r="B74" s="11"/>
      <x:c r="C74" s="27"/>
      <x:c r="D74" s="11"/>
      <x:c r="E74" s="11"/>
      <x:c r="F74" s="11"/>
      <x:c r="G74" s="11"/>
      <x:c r="H74" s="12" t="str">
        <x:f>IF(A74="","",IF(OR(B74="",B74="None"),IF(OR(C74="",C74=0),"Ready","Check rate"),IF(AND(B74&lt;&gt;"Fixed",B74&lt;&gt;"Percent"),"Set mode",IF(COUNT(C74)&lt;&gt;1,"Set rate",IF(OR(C74&lt;0,ROUND(C74,2)&lt;&gt;C74,AND(B74="Percent",C74&gt;100)),"Check rate","Ready")))))</x:f>
      </x:c>
    </x:row>
    <x:row r="75" ht="28" customHeight="1">
      <x:c r="A75" s="11"/>
      <x:c r="B75" s="11"/>
      <x:c r="C75" s="27"/>
      <x:c r="D75" s="11"/>
      <x:c r="E75" s="11"/>
      <x:c r="F75" s="11"/>
      <x:c r="G75" s="11"/>
      <x:c r="H75" s="12" t="str">
        <x:f>IF(A75="","",IF(OR(B75="",B75="None"),IF(OR(C75="",C75=0),"Ready","Check rate"),IF(AND(B75&lt;&gt;"Fixed",B75&lt;&gt;"Percent"),"Set mode",IF(COUNT(C75)&lt;&gt;1,"Set rate",IF(OR(C75&lt;0,ROUND(C75,2)&lt;&gt;C75,AND(B75="Percent",C75&gt;100)),"Check rate","Ready")))))</x:f>
      </x:c>
    </x:row>
    <x:row r="76" ht="28" customHeight="1">
      <x:c r="A76" s="11"/>
      <x:c r="B76" s="11"/>
      <x:c r="C76" s="27"/>
      <x:c r="D76" s="11"/>
      <x:c r="E76" s="11"/>
      <x:c r="F76" s="11"/>
      <x:c r="G76" s="11"/>
      <x:c r="H76" s="12" t="str">
        <x:f>IF(A76="","",IF(OR(B76="",B76="None"),IF(OR(C76="",C76=0),"Ready","Check rate"),IF(AND(B76&lt;&gt;"Fixed",B76&lt;&gt;"Percent"),"Set mode",IF(COUNT(C76)&lt;&gt;1,"Set rate",IF(OR(C76&lt;0,ROUND(C76,2)&lt;&gt;C76,AND(B76="Percent",C76&gt;100)),"Check rate","Ready")))))</x:f>
      </x:c>
    </x:row>
    <x:row r="77" ht="28" customHeight="1">
      <x:c r="A77" s="11"/>
      <x:c r="B77" s="11"/>
      <x:c r="C77" s="27"/>
      <x:c r="D77" s="11"/>
      <x:c r="E77" s="11"/>
      <x:c r="F77" s="11"/>
      <x:c r="G77" s="11"/>
      <x:c r="H77" s="12" t="str">
        <x:f>IF(A77="","",IF(OR(B77="",B77="None"),IF(OR(C77="",C77=0),"Ready","Check rate"),IF(AND(B77&lt;&gt;"Fixed",B77&lt;&gt;"Percent"),"Set mode",IF(COUNT(C77)&lt;&gt;1,"Set rate",IF(OR(C77&lt;0,ROUND(C77,2)&lt;&gt;C77,AND(B77="Percent",C77&gt;100)),"Check rate","Ready")))))</x:f>
      </x:c>
    </x:row>
    <x:row r="78" ht="28" customHeight="1">
      <x:c r="A78" s="11"/>
      <x:c r="B78" s="11"/>
      <x:c r="C78" s="27"/>
      <x:c r="D78" s="11"/>
      <x:c r="E78" s="11"/>
      <x:c r="F78" s="11"/>
      <x:c r="G78" s="11"/>
      <x:c r="H78" s="12" t="str">
        <x:f>IF(A78="","",IF(OR(B78="",B78="None"),IF(OR(C78="",C78=0),"Ready","Check rate"),IF(AND(B78&lt;&gt;"Fixed",B78&lt;&gt;"Percent"),"Set mode",IF(COUNT(C78)&lt;&gt;1,"Set rate",IF(OR(C78&lt;0,ROUND(C78,2)&lt;&gt;C78,AND(B78="Percent",C78&gt;100)),"Check rate","Ready")))))</x:f>
      </x:c>
    </x:row>
    <x:row r="79" ht="28" customHeight="1">
      <x:c r="A79" s="11"/>
      <x:c r="B79" s="11"/>
      <x:c r="C79" s="27"/>
      <x:c r="D79" s="11"/>
      <x:c r="E79" s="11"/>
      <x:c r="F79" s="11"/>
      <x:c r="G79" s="11"/>
      <x:c r="H79" s="12" t="str">
        <x:f>IF(A79="","",IF(OR(B79="",B79="None"),IF(OR(C79="",C79=0),"Ready","Check rate"),IF(AND(B79&lt;&gt;"Fixed",B79&lt;&gt;"Percent"),"Set mode",IF(COUNT(C79)&lt;&gt;1,"Set rate",IF(OR(C79&lt;0,ROUND(C79,2)&lt;&gt;C79,AND(B79="Percent",C79&gt;100)),"Check rate","Ready")))))</x:f>
      </x:c>
    </x:row>
    <x:row r="80" ht="28" customHeight="1">
      <x:c r="A80" s="11"/>
      <x:c r="B80" s="11"/>
      <x:c r="C80" s="27"/>
      <x:c r="D80" s="11"/>
      <x:c r="E80" s="11"/>
      <x:c r="F80" s="11"/>
      <x:c r="G80" s="11"/>
      <x:c r="H80" s="12" t="str">
        <x:f>IF(A80="","",IF(OR(B80="",B80="None"),IF(OR(C80="",C80=0),"Ready","Check rate"),IF(AND(B80&lt;&gt;"Fixed",B80&lt;&gt;"Percent"),"Set mode",IF(COUNT(C80)&lt;&gt;1,"Set rate",IF(OR(C80&lt;0,ROUND(C80,2)&lt;&gt;C80,AND(B80="Percent",C80&gt;100)),"Check rate","Ready")))))</x:f>
      </x:c>
    </x:row>
    <x:row r="81" ht="28" customHeight="1">
      <x:c r="A81" s="11"/>
      <x:c r="B81" s="11"/>
      <x:c r="C81" s="27"/>
      <x:c r="D81" s="11"/>
      <x:c r="E81" s="11"/>
      <x:c r="F81" s="11"/>
      <x:c r="G81" s="11"/>
      <x:c r="H81" s="12" t="str">
        <x:f>IF(A81="","",IF(OR(B81="",B81="None"),IF(OR(C81="",C81=0),"Ready","Check rate"),IF(AND(B81&lt;&gt;"Fixed",B81&lt;&gt;"Percent"),"Set mode",IF(COUNT(C81)&lt;&gt;1,"Set rate",IF(OR(C81&lt;0,ROUND(C81,2)&lt;&gt;C81,AND(B81="Percent",C81&gt;100)),"Check rate","Ready")))))</x:f>
      </x:c>
    </x:row>
    <x:row r="82" ht="28" customHeight="1">
      <x:c r="A82" s="11"/>
      <x:c r="B82" s="11"/>
      <x:c r="C82" s="27"/>
      <x:c r="D82" s="11"/>
      <x:c r="E82" s="11"/>
      <x:c r="F82" s="11"/>
      <x:c r="G82" s="11"/>
      <x:c r="H82" s="12" t="str">
        <x:f>IF(A82="","",IF(OR(B82="",B82="None"),IF(OR(C82="",C82=0),"Ready","Check rate"),IF(AND(B82&lt;&gt;"Fixed",B82&lt;&gt;"Percent"),"Set mode",IF(COUNT(C82)&lt;&gt;1,"Set rate",IF(OR(C82&lt;0,ROUND(C82,2)&lt;&gt;C82,AND(B82="Percent",C82&gt;100)),"Check rate","Ready")))))</x:f>
      </x:c>
    </x:row>
    <x:row r="83" ht="28" customHeight="1">
      <x:c r="A83" s="11"/>
      <x:c r="B83" s="11"/>
      <x:c r="C83" s="27"/>
      <x:c r="D83" s="11"/>
      <x:c r="E83" s="11"/>
      <x:c r="F83" s="11"/>
      <x:c r="G83" s="11"/>
      <x:c r="H83" s="12" t="str">
        <x:f>IF(A83="","",IF(OR(B83="",B83="None"),IF(OR(C83="",C83=0),"Ready","Check rate"),IF(AND(B83&lt;&gt;"Fixed",B83&lt;&gt;"Percent"),"Set mode",IF(COUNT(C83)&lt;&gt;1,"Set rate",IF(OR(C83&lt;0,ROUND(C83,2)&lt;&gt;C83,AND(B83="Percent",C83&gt;100)),"Check rate","Ready")))))</x:f>
      </x:c>
    </x:row>
    <x:row r="84" ht="28" customHeight="1">
      <x:c r="A84" s="11"/>
      <x:c r="B84" s="11"/>
      <x:c r="C84" s="27"/>
      <x:c r="D84" s="11"/>
      <x:c r="E84" s="11"/>
      <x:c r="F84" s="11"/>
      <x:c r="G84" s="11"/>
      <x:c r="H84" s="12" t="str">
        <x:f>IF(A84="","",IF(OR(B84="",B84="None"),IF(OR(C84="",C84=0),"Ready","Check rate"),IF(AND(B84&lt;&gt;"Fixed",B84&lt;&gt;"Percent"),"Set mode",IF(COUNT(C84)&lt;&gt;1,"Set rate",IF(OR(C84&lt;0,ROUND(C84,2)&lt;&gt;C84,AND(B84="Percent",C84&gt;100)),"Check rate","Ready")))))</x:f>
      </x:c>
    </x:row>
    <x:row r="85" ht="28" customHeight="1">
      <x:c r="A85" s="11"/>
      <x:c r="B85" s="11"/>
      <x:c r="C85" s="27"/>
      <x:c r="D85" s="11"/>
      <x:c r="E85" s="11"/>
      <x:c r="F85" s="11"/>
      <x:c r="G85" s="11"/>
      <x:c r="H85" s="12" t="str">
        <x:f>IF(A85="","",IF(OR(B85="",B85="None"),IF(OR(C85="",C85=0),"Ready","Check rate"),IF(AND(B85&lt;&gt;"Fixed",B85&lt;&gt;"Percent"),"Set mode",IF(COUNT(C85)&lt;&gt;1,"Set rate",IF(OR(C85&lt;0,ROUND(C85,2)&lt;&gt;C85,AND(B85="Percent",C85&gt;100)),"Check rate","Ready")))))</x:f>
      </x:c>
    </x:row>
    <x:row r="86" ht="28" customHeight="1">
      <x:c r="A86" s="11"/>
      <x:c r="B86" s="11"/>
      <x:c r="C86" s="27"/>
      <x:c r="D86" s="11"/>
      <x:c r="E86" s="11"/>
      <x:c r="F86" s="11"/>
      <x:c r="G86" s="11"/>
      <x:c r="H86" s="12" t="str">
        <x:f>IF(A86="","",IF(OR(B86="",B86="None"),IF(OR(C86="",C86=0),"Ready","Check rate"),IF(AND(B86&lt;&gt;"Fixed",B86&lt;&gt;"Percent"),"Set mode",IF(COUNT(C86)&lt;&gt;1,"Set rate",IF(OR(C86&lt;0,ROUND(C86,2)&lt;&gt;C86,AND(B86="Percent",C86&gt;100)),"Check rate","Ready")))))</x:f>
      </x:c>
    </x:row>
    <x:row r="87" ht="28" customHeight="1">
      <x:c r="A87" s="11"/>
      <x:c r="B87" s="11"/>
      <x:c r="C87" s="27"/>
      <x:c r="D87" s="11"/>
      <x:c r="E87" s="11"/>
      <x:c r="F87" s="11"/>
      <x:c r="G87" s="11"/>
      <x:c r="H87" s="12" t="str">
        <x:f>IF(A87="","",IF(OR(B87="",B87="None"),IF(OR(C87="",C87=0),"Ready","Check rate"),IF(AND(B87&lt;&gt;"Fixed",B87&lt;&gt;"Percent"),"Set mode",IF(COUNT(C87)&lt;&gt;1,"Set rate",IF(OR(C87&lt;0,ROUND(C87,2)&lt;&gt;C87,AND(B87="Percent",C87&gt;100)),"Check rate","Ready")))))</x:f>
      </x:c>
    </x:row>
    <x:row r="88" ht="28" customHeight="1">
      <x:c r="A88" s="11"/>
      <x:c r="B88" s="11"/>
      <x:c r="C88" s="27"/>
      <x:c r="D88" s="11"/>
      <x:c r="E88" s="11"/>
      <x:c r="F88" s="11"/>
      <x:c r="G88" s="11"/>
      <x:c r="H88" s="12" t="str">
        <x:f>IF(A88="","",IF(OR(B88="",B88="None"),IF(OR(C88="",C88=0),"Ready","Check rate"),IF(AND(B88&lt;&gt;"Fixed",B88&lt;&gt;"Percent"),"Set mode",IF(COUNT(C88)&lt;&gt;1,"Set rate",IF(OR(C88&lt;0,ROUND(C88,2)&lt;&gt;C88,AND(B88="Percent",C88&gt;100)),"Check rate","Ready")))))</x:f>
      </x:c>
    </x:row>
    <x:row r="89" ht="28" customHeight="1">
      <x:c r="A89" s="11"/>
      <x:c r="B89" s="11"/>
      <x:c r="C89" s="27"/>
      <x:c r="D89" s="11"/>
      <x:c r="E89" s="11"/>
      <x:c r="F89" s="11"/>
      <x:c r="G89" s="11"/>
      <x:c r="H89" s="12" t="str">
        <x:f>IF(A89="","",IF(OR(B89="",B89="None"),IF(OR(C89="",C89=0),"Ready","Check rate"),IF(AND(B89&lt;&gt;"Fixed",B89&lt;&gt;"Percent"),"Set mode",IF(COUNT(C89)&lt;&gt;1,"Set rate",IF(OR(C89&lt;0,ROUND(C89,2)&lt;&gt;C89,AND(B89="Percent",C89&gt;100)),"Check rate","Ready")))))</x:f>
      </x:c>
    </x:row>
    <x:row r="90" ht="28" customHeight="1">
      <x:c r="A90" s="11"/>
      <x:c r="B90" s="11"/>
      <x:c r="C90" s="27"/>
      <x:c r="D90" s="11"/>
      <x:c r="E90" s="11"/>
      <x:c r="F90" s="11"/>
      <x:c r="G90" s="11"/>
      <x:c r="H90" s="12" t="str">
        <x:f>IF(A90="","",IF(OR(B90="",B90="None"),IF(OR(C90="",C90=0),"Ready","Check rate"),IF(AND(B90&lt;&gt;"Fixed",B90&lt;&gt;"Percent"),"Set mode",IF(COUNT(C90)&lt;&gt;1,"Set rate",IF(OR(C90&lt;0,ROUND(C90,2)&lt;&gt;C90,AND(B90="Percent",C90&gt;100)),"Check rate","Ready")))))</x:f>
      </x:c>
    </x:row>
    <x:row r="91" ht="28" customHeight="1">
      <x:c r="A91" s="11"/>
      <x:c r="B91" s="11"/>
      <x:c r="C91" s="27"/>
      <x:c r="D91" s="11"/>
      <x:c r="E91" s="11"/>
      <x:c r="F91" s="11"/>
      <x:c r="G91" s="11"/>
      <x:c r="H91" s="12" t="str">
        <x:f>IF(A91="","",IF(OR(B91="",B91="None"),IF(OR(C91="",C91=0),"Ready","Check rate"),IF(AND(B91&lt;&gt;"Fixed",B91&lt;&gt;"Percent"),"Set mode",IF(COUNT(C91)&lt;&gt;1,"Set rate",IF(OR(C91&lt;0,ROUND(C91,2)&lt;&gt;C91,AND(B91="Percent",C91&gt;100)),"Check rate","Ready")))))</x:f>
      </x:c>
    </x:row>
    <x:row r="92" ht="28" customHeight="1">
      <x:c r="A92" s="11"/>
      <x:c r="B92" s="11"/>
      <x:c r="C92" s="27"/>
      <x:c r="D92" s="11"/>
      <x:c r="E92" s="11"/>
      <x:c r="F92" s="11"/>
      <x:c r="G92" s="11"/>
      <x:c r="H92" s="12" t="str">
        <x:f>IF(A92="","",IF(OR(B92="",B92="None"),IF(OR(C92="",C92=0),"Ready","Check rate"),IF(AND(B92&lt;&gt;"Fixed",B92&lt;&gt;"Percent"),"Set mode",IF(COUNT(C92)&lt;&gt;1,"Set rate",IF(OR(C92&lt;0,ROUND(C92,2)&lt;&gt;C92,AND(B92="Percent",C92&gt;100)),"Check rate","Ready")))))</x:f>
      </x:c>
    </x:row>
    <x:row r="93" ht="28" customHeight="1">
      <x:c r="A93" s="11"/>
      <x:c r="B93" s="11"/>
      <x:c r="C93" s="27"/>
      <x:c r="D93" s="11"/>
      <x:c r="E93" s="11"/>
      <x:c r="F93" s="11"/>
      <x:c r="G93" s="11"/>
      <x:c r="H93" s="12" t="str">
        <x:f>IF(A93="","",IF(OR(B93="",B93="None"),IF(OR(C93="",C93=0),"Ready","Check rate"),IF(AND(B93&lt;&gt;"Fixed",B93&lt;&gt;"Percent"),"Set mode",IF(COUNT(C93)&lt;&gt;1,"Set rate",IF(OR(C93&lt;0,ROUND(C93,2)&lt;&gt;C93,AND(B93="Percent",C93&gt;100)),"Check rate","Ready")))))</x:f>
      </x:c>
    </x:row>
    <x:row r="94" ht="28" customHeight="1">
      <x:c r="A94" s="11"/>
      <x:c r="B94" s="11"/>
      <x:c r="C94" s="27"/>
      <x:c r="D94" s="11"/>
      <x:c r="E94" s="11"/>
      <x:c r="F94" s="11"/>
      <x:c r="G94" s="11"/>
      <x:c r="H94" s="12" t="str">
        <x:f>IF(A94="","",IF(OR(B94="",B94="None"),IF(OR(C94="",C94=0),"Ready","Check rate"),IF(AND(B94&lt;&gt;"Fixed",B94&lt;&gt;"Percent"),"Set mode",IF(COUNT(C94)&lt;&gt;1,"Set rate",IF(OR(C94&lt;0,ROUND(C94,2)&lt;&gt;C94,AND(B94="Percent",C94&gt;100)),"Check rate","Ready")))))</x:f>
      </x:c>
    </x:row>
    <x:row r="95" ht="28" customHeight="1">
      <x:c r="A95" s="11"/>
      <x:c r="B95" s="11"/>
      <x:c r="C95" s="27"/>
      <x:c r="D95" s="11"/>
      <x:c r="E95" s="11"/>
      <x:c r="F95" s="11"/>
      <x:c r="G95" s="11"/>
      <x:c r="H95" s="12" t="str">
        <x:f>IF(A95="","",IF(OR(B95="",B95="None"),IF(OR(C95="",C95=0),"Ready","Check rate"),IF(AND(B95&lt;&gt;"Fixed",B95&lt;&gt;"Percent"),"Set mode",IF(COUNT(C95)&lt;&gt;1,"Set rate",IF(OR(C95&lt;0,ROUND(C95,2)&lt;&gt;C95,AND(B95="Percent",C95&gt;100)),"Check rate","Ready")))))</x:f>
      </x:c>
    </x:row>
    <x:row r="96" ht="28" customHeight="1">
      <x:c r="A96" s="11"/>
      <x:c r="B96" s="11"/>
      <x:c r="C96" s="27"/>
      <x:c r="D96" s="11"/>
      <x:c r="E96" s="11"/>
      <x:c r="F96" s="11"/>
      <x:c r="G96" s="11"/>
      <x:c r="H96" s="12" t="str">
        <x:f>IF(A96="","",IF(OR(B96="",B96="None"),IF(OR(C96="",C96=0),"Ready","Check rate"),IF(AND(B96&lt;&gt;"Fixed",B96&lt;&gt;"Percent"),"Set mode",IF(COUNT(C96)&lt;&gt;1,"Set rate",IF(OR(C96&lt;0,ROUND(C96,2)&lt;&gt;C96,AND(B96="Percent",C96&gt;100)),"Check rate","Ready")))))</x:f>
      </x:c>
    </x:row>
    <x:row r="97" ht="28" customHeight="1">
      <x:c r="A97" s="11"/>
      <x:c r="B97" s="11"/>
      <x:c r="C97" s="27"/>
      <x:c r="D97" s="11"/>
      <x:c r="E97" s="11"/>
      <x:c r="F97" s="11"/>
      <x:c r="G97" s="11"/>
      <x:c r="H97" s="12" t="str">
        <x:f>IF(A97="","",IF(OR(B97="",B97="None"),IF(OR(C97="",C97=0),"Ready","Check rate"),IF(AND(B97&lt;&gt;"Fixed",B97&lt;&gt;"Percent"),"Set mode",IF(COUNT(C97)&lt;&gt;1,"Set rate",IF(OR(C97&lt;0,ROUND(C97,2)&lt;&gt;C97,AND(B97="Percent",C97&gt;100)),"Check rate","Ready")))))</x:f>
      </x:c>
    </x:row>
    <x:row r="98" ht="28" customHeight="1">
      <x:c r="A98" s="11"/>
      <x:c r="B98" s="11"/>
      <x:c r="C98" s="27"/>
      <x:c r="D98" s="11"/>
      <x:c r="E98" s="11"/>
      <x:c r="F98" s="11"/>
      <x:c r="G98" s="11"/>
      <x:c r="H98" s="12" t="str">
        <x:f>IF(A98="","",IF(OR(B98="",B98="None"),IF(OR(C98="",C98=0),"Ready","Check rate"),IF(AND(B98&lt;&gt;"Fixed",B98&lt;&gt;"Percent"),"Set mode",IF(COUNT(C98)&lt;&gt;1,"Set rate",IF(OR(C98&lt;0,ROUND(C98,2)&lt;&gt;C98,AND(B98="Percent",C98&gt;100)),"Check rate","Ready")))))</x:f>
      </x:c>
    </x:row>
    <x:row r="99" ht="28" customHeight="1">
      <x:c r="A99" s="11"/>
      <x:c r="B99" s="11"/>
      <x:c r="C99" s="27"/>
      <x:c r="D99" s="11"/>
      <x:c r="E99" s="11"/>
      <x:c r="F99" s="11"/>
      <x:c r="G99" s="11"/>
      <x:c r="H99" s="12" t="str">
        <x:f>IF(A99="","",IF(OR(B99="",B99="None"),IF(OR(C99="",C99=0),"Ready","Check rate"),IF(AND(B99&lt;&gt;"Fixed",B99&lt;&gt;"Percent"),"Set mode",IF(COUNT(C99)&lt;&gt;1,"Set rate",IF(OR(C99&lt;0,ROUND(C99,2)&lt;&gt;C99,AND(B99="Percent",C99&gt;100)),"Check rate","Ready")))))</x:f>
      </x:c>
    </x:row>
    <x:row r="100" ht="28" customHeight="1">
      <x:c r="A100" s="11"/>
      <x:c r="B100" s="11"/>
      <x:c r="C100" s="27"/>
      <x:c r="D100" s="11"/>
      <x:c r="E100" s="11"/>
      <x:c r="F100" s="11"/>
      <x:c r="G100" s="11"/>
      <x:c r="H100" s="12" t="str">
        <x:f>IF(A100="","",IF(OR(B100="",B100="None"),IF(OR(C100="",C100=0),"Ready","Check rate"),IF(AND(B100&lt;&gt;"Fixed",B100&lt;&gt;"Percent"),"Set mode",IF(COUNT(C100)&lt;&gt;1,"Set rate",IF(OR(C100&lt;0,ROUND(C100,2)&lt;&gt;C100,AND(B100="Percent",C100&gt;100)),"Check rate","Ready")))))</x:f>
      </x:c>
    </x:row>
    <x:row r="101" ht="28" customHeight="1">
      <x:c r="A101" s="11"/>
      <x:c r="B101" s="11"/>
      <x:c r="C101" s="27"/>
      <x:c r="D101" s="11"/>
      <x:c r="E101" s="11"/>
      <x:c r="F101" s="11"/>
      <x:c r="G101" s="11"/>
      <x:c r="H101" s="12" t="str">
        <x:f>IF(A101="","",IF(OR(B101="",B101="None"),IF(OR(C101="",C101=0),"Ready","Check rate"),IF(AND(B101&lt;&gt;"Fixed",B101&lt;&gt;"Percent"),"Set mode",IF(COUNT(C101)&lt;&gt;1,"Set rate",IF(OR(C101&lt;0,ROUND(C101,2)&lt;&gt;C101,AND(B101="Percent",C101&gt;100)),"Check rate","Ready")))))</x:f>
      </x:c>
    </x:row>
    <x:row r="102" ht="28" customHeight="1">
      <x:c r="A102" s="11"/>
      <x:c r="B102" s="11"/>
      <x:c r="C102" s="27"/>
      <x:c r="D102" s="11"/>
      <x:c r="E102" s="11"/>
      <x:c r="F102" s="11"/>
      <x:c r="G102" s="11"/>
      <x:c r="H102" s="12" t="str">
        <x:f>IF(A102="","",IF(OR(B102="",B102="None"),IF(OR(C102="",C102=0),"Ready","Check rate"),IF(AND(B102&lt;&gt;"Fixed",B102&lt;&gt;"Percent"),"Set mode",IF(COUNT(C102)&lt;&gt;1,"Set rate",IF(OR(C102&lt;0,ROUND(C102,2)&lt;&gt;C102,AND(B102="Percent",C102&gt;100)),"Check rate","Ready")))))</x:f>
      </x:c>
    </x:row>
    <x:row r="103" ht="28" customHeight="1">
      <x:c r="A103" s="11"/>
      <x:c r="B103" s="11"/>
      <x:c r="C103" s="27"/>
      <x:c r="D103" s="11"/>
      <x:c r="E103" s="11"/>
      <x:c r="F103" s="11"/>
      <x:c r="G103" s="11"/>
      <x:c r="H103" s="12" t="str">
        <x:f>IF(A103="","",IF(OR(B103="",B103="None"),IF(OR(C103="",C103=0),"Ready","Check rate"),IF(AND(B103&lt;&gt;"Fixed",B103&lt;&gt;"Percent"),"Set mode",IF(COUNT(C103)&lt;&gt;1,"Set rate",IF(OR(C103&lt;0,ROUND(C103,2)&lt;&gt;C103,AND(B103="Percent",C103&gt;100)),"Check rate","Ready")))))</x:f>
      </x:c>
    </x:row>
    <x:row r="104" ht="28" customHeight="1">
      <x:c r="A104" s="11"/>
      <x:c r="B104" s="11"/>
      <x:c r="C104" s="27"/>
      <x:c r="D104" s="11"/>
      <x:c r="E104" s="11"/>
      <x:c r="F104" s="11"/>
      <x:c r="G104" s="11"/>
      <x:c r="H104" s="12" t="str">
        <x:f>IF(A104="","",IF(OR(B104="",B104="None"),IF(OR(C104="",C104=0),"Ready","Check rate"),IF(AND(B104&lt;&gt;"Fixed",B104&lt;&gt;"Percent"),"Set mode",IF(COUNT(C104)&lt;&gt;1,"Set rate",IF(OR(C104&lt;0,ROUND(C104,2)&lt;&gt;C104,AND(B104="Percent",C104&gt;100)),"Check rate","Ready")))))</x:f>
      </x:c>
    </x:row>
  </x:sheetData>
  <x:dataValidations count="1">
    <x:dataValidation type="list" sqref="B5:B104">
      <x:formula1>"None,Fixed,Percent"</x:formula1>
    </x:dataValidation>
  </x:dataValidations>
  <x:pageMargins left="0.7" right="0.7" top="0.75" bottom="0.75" header="0.3" footer="0.3"/>
</x:worksheet>
</file>